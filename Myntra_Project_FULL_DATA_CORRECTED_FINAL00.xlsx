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M\Downloads\"/>
    </mc:Choice>
  </mc:AlternateContent>
  <xr:revisionPtr revIDLastSave="0" documentId="13_ncr:1_{DB88D04A-3788-43BB-9331-A42028FF18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00_Summary" sheetId="1" r:id="rId1"/>
    <sheet name="Data_Cleaning" sheetId="22" r:id="rId2"/>
    <sheet name="Q01_Duplicates" sheetId="2" r:id="rId3"/>
    <sheet name="Q02_Discount_Format" sheetId="3" r:id="rId4"/>
    <sheet name="Q03_Fill_DiscountPrice" sheetId="4" r:id="rId5"/>
    <sheet name="Q04_SizeOption" sheetId="5" r:id="rId6"/>
    <sheet name="Q05_Avg_OriginalPrice" sheetId="6" r:id="rId7"/>
    <sheet name="Q06_Discount_50" sheetId="7" r:id="rId8"/>
    <sheet name="Q07_Size_M" sheetId="8" r:id="rId9"/>
    <sheet name="Q08_Discount_Label" sheetId="9" r:id="rId10"/>
    <sheet name="Q09_Lookup" sheetId="10" r:id="rId11"/>
    <sheet name="Q10_Index_Match" sheetId="11" r:id="rId12"/>
    <sheet name="Q11_Nested_Lookup" sheetId="12" r:id="rId13"/>
    <sheet name="Full_Data_Verification" sheetId="13" r:id="rId14"/>
    <sheet name="Formula_Guide" sheetId="14" r:id="rId15"/>
  </sheets>
  <externalReferences>
    <externalReference r:id="rId16"/>
  </externalReferences>
  <definedNames>
    <definedName name="_xlnm._FilterDatabase" localSheetId="1" hidden="1">Data_Cleaning!$A$1:$R$1001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C12" i="14"/>
  <c r="C11" i="14"/>
  <c r="C10" i="14"/>
  <c r="C9" i="14"/>
  <c r="C8" i="14"/>
  <c r="C7" i="14"/>
  <c r="C6" i="14"/>
  <c r="C5" i="14"/>
  <c r="C4" i="14"/>
  <c r="C3" i="14"/>
  <c r="C2" i="14"/>
  <c r="B4" i="11"/>
  <c r="B5" i="9"/>
  <c r="B3" i="8"/>
  <c r="B3" i="7"/>
  <c r="B3" i="6"/>
  <c r="B4" i="5"/>
  <c r="B3" i="5"/>
  <c r="B5" i="4"/>
  <c r="B4" i="4"/>
  <c r="B3" i="4"/>
  <c r="B3" i="2"/>
</calcChain>
</file>

<file path=xl/sharedStrings.xml><?xml version="1.0" encoding="utf-8"?>
<sst xmlns="http://schemas.openxmlformats.org/spreadsheetml/2006/main" count="11106" uniqueCount="2419">
  <si>
    <t>Myntra Fashion Clothing — FULL DATA CORRECTED PROJECT</t>
  </si>
  <si>
    <t>Source</t>
  </si>
  <si>
    <t>Myntra Fasion Clothing.csv.xlsx</t>
  </si>
  <si>
    <t>Full source sheet</t>
  </si>
  <si>
    <t>Total rows</t>
  </si>
  <si>
    <t>526,564</t>
  </si>
  <si>
    <t>Total columns</t>
  </si>
  <si>
    <t>16</t>
  </si>
  <si>
    <t>A1 Duplicate count</t>
  </si>
  <si>
    <t>Verified from full data</t>
  </si>
  <si>
    <t>A2 Standardization</t>
  </si>
  <si>
    <t>Verified</t>
  </si>
  <si>
    <t>A3 Both-null rows</t>
  </si>
  <si>
    <t>A4 SizeOption nulls</t>
  </si>
  <si>
    <t>B1 Avg Original Price, Rating &gt;4</t>
  </si>
  <si>
    <t>₹1,966.6675</t>
  </si>
  <si>
    <t>B2 Discount &gt;50%</t>
  </si>
  <si>
    <t>B3 Size M</t>
  </si>
  <si>
    <t>B4 High Discount</t>
  </si>
  <si>
    <t>B4 Low Discount</t>
  </si>
  <si>
    <t>C1 Product 11226634</t>
  </si>
  <si>
    <t>Maniac | ₹1,199 | Rating 3.9</t>
  </si>
  <si>
    <t>C2 Product 6744434</t>
  </si>
  <si>
    <t>DiscountPrice ₹599</t>
  </si>
  <si>
    <t>C3 Example</t>
  </si>
  <si>
    <t>Maniac | Sports Wear | tshirts</t>
  </si>
  <si>
    <t>Q1 — Duplicate Check</t>
  </si>
  <si>
    <t>Field</t>
  </si>
  <si>
    <t>Formula / Input</t>
  </si>
  <si>
    <t>Correct Full-Data Result</t>
  </si>
  <si>
    <t>Duplicate count</t>
  </si>
  <si>
    <t>Conclusion</t>
  </si>
  <si>
    <t>Full 526,564-row dataset checked.</t>
  </si>
  <si>
    <t>No duplicates found.</t>
  </si>
  <si>
    <t>Q2 — Standardize DiscountOffer</t>
  </si>
  <si>
    <t>Example</t>
  </si>
  <si>
    <t>45% OFF</t>
  </si>
  <si>
    <t>Standardized</t>
  </si>
  <si>
    <t>Standardized_DiscountOffer created for all rows.</t>
  </si>
  <si>
    <t>Q3 — Fill DiscountPrice by Category</t>
  </si>
  <si>
    <t>Both-null rows</t>
  </si>
  <si>
    <t>Category average</t>
  </si>
  <si>
    <t>Used for affected rows</t>
  </si>
  <si>
    <t>Updated price</t>
  </si>
  <si>
    <t>Filled for both-null records</t>
  </si>
  <si>
    <t>Q4 — Replace Null SizeOption</t>
  </si>
  <si>
    <t>Null count</t>
  </si>
  <si>
    <t>Formula</t>
  </si>
  <si>
    <t>0 nulls in source; replacement rule retained</t>
  </si>
  <si>
    <t>Q5 — Average Original Price, Rating &gt;4</t>
  </si>
  <si>
    <t>Average</t>
  </si>
  <si>
    <t>Q6 — DiscountOffer &gt;50%</t>
  </si>
  <si>
    <t>Count</t>
  </si>
  <si>
    <t>Q7 — Products Available in Size M</t>
  </si>
  <si>
    <t>Q8 — High / Low Discount</t>
  </si>
  <si>
    <t>High Discount</t>
  </si>
  <si>
    <t>&gt;50%</t>
  </si>
  <si>
    <t>Low Discount</t>
  </si>
  <si>
    <t>&lt;=50%</t>
  </si>
  <si>
    <t>Row formula</t>
  </si>
  <si>
    <t>Applied to all 526,564 rows</t>
  </si>
  <si>
    <t>Q9 — Lookup — Product ID 11226634</t>
  </si>
  <si>
    <t>Product ID</t>
  </si>
  <si>
    <t>BrandName</t>
  </si>
  <si>
    <t>VLOOKUP/XLOOKUP</t>
  </si>
  <si>
    <t>Maniac</t>
  </si>
  <si>
    <t>Original Price</t>
  </si>
  <si>
    <t>₹1,199</t>
  </si>
  <si>
    <t>Rating</t>
  </si>
  <si>
    <t>Q10 — INDEX + MATCH — Product ID 6744434</t>
  </si>
  <si>
    <t>DiscountPrice</t>
  </si>
  <si>
    <t>₹599</t>
  </si>
  <si>
    <t>Q11 — Nested Lookup — Product ID 11226634</t>
  </si>
  <si>
    <t>Nested lookup</t>
  </si>
  <si>
    <t>Category</t>
  </si>
  <si>
    <t>Sports Wear</t>
  </si>
  <si>
    <t>Individual_category</t>
  </si>
  <si>
    <t>tshirts</t>
  </si>
  <si>
    <t>Full Dataset Verification</t>
  </si>
  <si>
    <t>Value</t>
  </si>
  <si>
    <t>Notes</t>
  </si>
  <si>
    <t>Source workbook</t>
  </si>
  <si>
    <t>Original dataset</t>
  </si>
  <si>
    <t>Source sheet</t>
  </si>
  <si>
    <t>Myntra Fasion Clothing</t>
  </si>
  <si>
    <t>Used for every calculation</t>
  </si>
  <si>
    <t>Rows</t>
  </si>
  <si>
    <t>Full dataset</t>
  </si>
  <si>
    <t>Columns</t>
  </si>
  <si>
    <t>16 source columns</t>
  </si>
  <si>
    <t>Q1 duplicates</t>
  </si>
  <si>
    <t>0</t>
  </si>
  <si>
    <t>Q3 both-null</t>
  </si>
  <si>
    <t>74,122</t>
  </si>
  <si>
    <t>Q4 SizeOption null</t>
  </si>
  <si>
    <t>Q5 average</t>
  </si>
  <si>
    <t>Rating &gt;4</t>
  </si>
  <si>
    <t>Q6 &gt;50% discount</t>
  </si>
  <si>
    <t>218,489</t>
  </si>
  <si>
    <t>Q7 size M</t>
  </si>
  <si>
    <t>308,449</t>
  </si>
  <si>
    <t>Q8 High</t>
  </si>
  <si>
    <t>Q8 Low</t>
  </si>
  <si>
    <t>308,075</t>
  </si>
  <si>
    <t>Q</t>
  </si>
  <si>
    <t>Purpose</t>
  </si>
  <si>
    <t>Correct Formula / Logic</t>
  </si>
  <si>
    <t>Q1</t>
  </si>
  <si>
    <t>Duplicate</t>
  </si>
  <si>
    <t>Q2</t>
  </si>
  <si>
    <t>Standardize discount</t>
  </si>
  <si>
    <t>Q3</t>
  </si>
  <si>
    <t>Category-average fill</t>
  </si>
  <si>
    <t>Q4</t>
  </si>
  <si>
    <t>Fill SizeOption</t>
  </si>
  <si>
    <t>Q5</t>
  </si>
  <si>
    <t>Average price Rating &gt;4</t>
  </si>
  <si>
    <t>Q6</t>
  </si>
  <si>
    <t>Discount &gt;50%</t>
  </si>
  <si>
    <t>Q7</t>
  </si>
  <si>
    <t>Size M</t>
  </si>
  <si>
    <t>Q8</t>
  </si>
  <si>
    <t>High/Low</t>
  </si>
  <si>
    <t>Q9</t>
  </si>
  <si>
    <t>Lookup</t>
  </si>
  <si>
    <t>Q10</t>
  </si>
  <si>
    <t>INDEX + MATCH</t>
  </si>
  <si>
    <t>Q11</t>
  </si>
  <si>
    <t>45% OFF → 45; Rs OFF → amount/original price</t>
  </si>
  <si>
    <t>Unique</t>
  </si>
  <si>
    <t>26, 28, 30, 32, 34, 36, 38</t>
  </si>
  <si>
    <t>40% OFF</t>
  </si>
  <si>
    <t>moda rapido navy blue  white printed pure cotton maxi flared skirt</t>
  </si>
  <si>
    <t>Women</t>
  </si>
  <si>
    <t>skirts</t>
  </si>
  <si>
    <t>Indian Wear</t>
  </si>
  <si>
    <t>Moda Rapido</t>
  </si>
  <si>
    <t>https://www.myntra.com/skirts/moda-rapido/moda-rapido-navy-blue--white-printed-pure-cotton-maxi-flared-skirt/10216989/buy</t>
  </si>
  <si>
    <t>38, 40, 42, 44, 46</t>
  </si>
  <si>
    <t>herenow men olive green slim fit solid casual shirt</t>
  </si>
  <si>
    <t>Men</t>
  </si>
  <si>
    <t>shirts</t>
  </si>
  <si>
    <t>Topwear</t>
  </si>
  <si>
    <t>HERE&amp;NOW</t>
  </si>
  <si>
    <t>https://www.myntra.com/shirts/herenow/herenow-men-olive-green-slim-fit-solid-casual-shirt/8979975/buy</t>
  </si>
  <si>
    <t>39, 40, 42, 44</t>
  </si>
  <si>
    <t>67% OFF</t>
  </si>
  <si>
    <t>locomotive men olive green slim fit solid casual shirt</t>
  </si>
  <si>
    <t>LOCOMOTIVE</t>
  </si>
  <si>
    <t>https://www.myntra.com/shirts/locomotive/locomotive-men-olive-green-slim-fit-solid-casual-shirt/5523552/buy</t>
  </si>
  <si>
    <t>S, M, L, XL, XXL</t>
  </si>
  <si>
    <t>hrx by hrithik roshan men teal blue printed round neck athleisure pure cotton t shirt</t>
  </si>
  <si>
    <t>HRX by Hrithik Roshan</t>
  </si>
  <si>
    <t>https://www.myntra.com/tshirts/hrx-by-hrithik-roshan/hrx-by-hrithik-roshan-men-teal-blue-printed-round-neck-athleisure-pure-cotton-t-shirt/6825447/buy</t>
  </si>
  <si>
    <t>vimal men pack of 2 solid cotton lounge pants</t>
  </si>
  <si>
    <t>lounge-pants</t>
  </si>
  <si>
    <t>Inner Wear &amp;  Sleep Wear</t>
  </si>
  <si>
    <t>VIMAL</t>
  </si>
  <si>
    <t>https://www.myntra.com/lounge-pants/vimal/vimal-men-pack-of-2-solid-cotton-lounge-pants/13676452/buy</t>
  </si>
  <si>
    <t>28, 30, 32, 34</t>
  </si>
  <si>
    <t>59% OFF</t>
  </si>
  <si>
    <t>tokyo talkies women white flared mid rise clean look jeans</t>
  </si>
  <si>
    <t>jeans</t>
  </si>
  <si>
    <t>Western</t>
  </si>
  <si>
    <t>Tokyo Talkies</t>
  </si>
  <si>
    <t>https://www.myntra.com/jeans/tokyo-talkies/tokyo-talkies-women-white-flared-mid-rise-clean-look-jeans/13641440/buy</t>
  </si>
  <si>
    <t>78% OFF</t>
  </si>
  <si>
    <t>vishudh women turquoise blue printed a line kurta</t>
  </si>
  <si>
    <t>kurtas</t>
  </si>
  <si>
    <t>Vishudh</t>
  </si>
  <si>
    <t>https://www.myntra.com/kurtas/vishudh/vishudh-women-turquoise-blue-printed-a-line-kurta/11862362/buy</t>
  </si>
  <si>
    <t>Onesize</t>
  </si>
  <si>
    <t>56% OFF</t>
  </si>
  <si>
    <t>saree mall black  beige printed saree</t>
  </si>
  <si>
    <t>sarees</t>
  </si>
  <si>
    <t>Saree mall</t>
  </si>
  <si>
    <t>https://www.myntra.com/sarees/saree-mall/saree-mall-black--beige-printed-saree/10613148/buy</t>
  </si>
  <si>
    <t>XS, S, M, L, XL, XXL, 3XL</t>
  </si>
  <si>
    <t>55% OFF</t>
  </si>
  <si>
    <t>sangria women off white  red floral print front slit a line kurta</t>
  </si>
  <si>
    <t>Sangria</t>
  </si>
  <si>
    <t>https://www.myntra.com/kurtas/sangria/sangria-women-off-white--red-floral-print-front-slit-a-line-kurta/13437258/buy</t>
  </si>
  <si>
    <t>wrogn men black solid slim fit polo collar pure cotton t shirt</t>
  </si>
  <si>
    <t>WROGN</t>
  </si>
  <si>
    <t>https://www.myntra.com/tshirts/wrogn/wrogn-men-black-solid-slim-fit-polo-collar-pure-cotton-t-shirt/10410716/buy</t>
  </si>
  <si>
    <t>30, 32, 34, 36</t>
  </si>
  <si>
    <t>61% OFF</t>
  </si>
  <si>
    <t>highlander men green tapered fit solid chinos</t>
  </si>
  <si>
    <t>trousers</t>
  </si>
  <si>
    <t>Bottom Wear</t>
  </si>
  <si>
    <t>HIGHLANDER</t>
  </si>
  <si>
    <t>https://www.myntra.com/trousers/highlander/highlander-men-green-tapered-fit-solid-chinos/6743832/buy</t>
  </si>
  <si>
    <t>XS, S, M, L, XL</t>
  </si>
  <si>
    <t>hrx by hrithik roshan black rapid dry tank top</t>
  </si>
  <si>
    <t>tops</t>
  </si>
  <si>
    <t>https://www.myntra.com/tops/hrx-by-hrithik-roshan/hrx-by-hrithik-roshan-black-rapid-dry-tank-top/8010357/buy</t>
  </si>
  <si>
    <t>XS, S, M, L, XL, XXL</t>
  </si>
  <si>
    <t>65% OFF</t>
  </si>
  <si>
    <t>dressberry women olive green solid joggers</t>
  </si>
  <si>
    <t>track-pants</t>
  </si>
  <si>
    <t>DressBerry</t>
  </si>
  <si>
    <t>https://www.myntra.com/track-pants/dressberry/dressberry-women-olive-green-solid-joggers/9265605/buy</t>
  </si>
  <si>
    <t>mitera pink  gold toned woven design zari silk blend banarasi saree</t>
  </si>
  <si>
    <t>Mitera</t>
  </si>
  <si>
    <t>https://www.myntra.com/sarees/mitera/mitera-pink--gold-toned-woven-design-zari-silk-blend-banarasi-saree/15012204/buy</t>
  </si>
  <si>
    <t>35% OFF</t>
  </si>
  <si>
    <t>sangria women blue  magenta pure cotton printed straight kurta</t>
  </si>
  <si>
    <t>https://www.myntra.com/kurtas/sangria/sangria-women-blue--magenta-pure-cotton-printed-straight-kurta/13249428/buy</t>
  </si>
  <si>
    <t>39, 40, 42, 44, 46</t>
  </si>
  <si>
    <t>50% OFF</t>
  </si>
  <si>
    <t>wrogn men navy checked casual shirt</t>
  </si>
  <si>
    <t>https://www.myntra.com/shirts/wrogn/wrogn-men-navy-checked-casual-shirt/1729361/buy</t>
  </si>
  <si>
    <t>S, M, L, XL</t>
  </si>
  <si>
    <t>57% OFF</t>
  </si>
  <si>
    <t>campus sutra men maroon solid hooded sweatshirt</t>
  </si>
  <si>
    <t>sweatshirts</t>
  </si>
  <si>
    <t>Campus Sutra</t>
  </si>
  <si>
    <t>https://www.myntra.com/sweatshirts/campus-sutra/campus-sutra-men-maroon-solid-hooded-sweatshirt/10381423/buy</t>
  </si>
  <si>
    <t>30% OFF</t>
  </si>
  <si>
    <t>wrogn men set of 3 above ankle socks</t>
  </si>
  <si>
    <t>socks</t>
  </si>
  <si>
    <t>https://www.myntra.com/socks/wrogn/wrogn-men-set-of-3-above-ankle-socks/12402758/buy</t>
  </si>
  <si>
    <t>26, 28, 30, 32, 34, 36</t>
  </si>
  <si>
    <t>60% OFF</t>
  </si>
  <si>
    <t>mast  harbour women blue boyfriend fit high rise clean look stretchable jeans</t>
  </si>
  <si>
    <t>Mast &amp; Harbour</t>
  </si>
  <si>
    <t>https://www.myntra.com/jeans/mast--harbour/mast--harbour-women-blue-boyfriend-fit-high-rise-clean-look-stretchable-jeans/9444915/buy</t>
  </si>
  <si>
    <t>mast  harbour navy embroidered a line dress</t>
  </si>
  <si>
    <t>dresses</t>
  </si>
  <si>
    <t>https://www.myntra.com/dresses/mast--harbour/mast--harbour-navy-embroidered-a-line-dress/11144172/buy</t>
  </si>
  <si>
    <t>62% OFF</t>
  </si>
  <si>
    <t>tokyo talkies navy blue a line pure cotton skirt</t>
  </si>
  <si>
    <t>https://www.myntra.com/skirts/tokyo-talkies/tokyo-talkies-navy-blue-a-line-pure-cotton-skirt/13275212/buy</t>
  </si>
  <si>
    <t>70% OFF, Hurry*</t>
  </si>
  <si>
    <t>herenow women pink  white checked bell sleeves straight kurta</t>
  </si>
  <si>
    <t>Plus Size</t>
  </si>
  <si>
    <t>https://www.myntra.com/kurtas/herenow/herenow-women-pink--white-checked-bell-sleeves-straight-kurta/12844212/buy</t>
  </si>
  <si>
    <t>S, M, L, XL, XXL, 3XL, 4XL</t>
  </si>
  <si>
    <t>pluss purple self design crop top</t>
  </si>
  <si>
    <t>plusS</t>
  </si>
  <si>
    <t>https://www.myntra.com/tops/pluss/pluss-purple-self-design-crop-top/12150618/buy</t>
  </si>
  <si>
    <t>pluss black self design crop top</t>
  </si>
  <si>
    <t>https://www.myntra.com/tops/pluss/pluss-black-self-design-crop-top/12150614/buy</t>
  </si>
  <si>
    <t>XS, S, M, L, XL, XXL, 3XL, 4XL, 5XL, 6XL, 7XL, 8XL</t>
  </si>
  <si>
    <t>39% OFF</t>
  </si>
  <si>
    <t>tissu women pink  white printed a line kurti</t>
  </si>
  <si>
    <t>kurtis</t>
  </si>
  <si>
    <t>Tissu</t>
  </si>
  <si>
    <t>https://www.myntra.com/kurtis/tissu/tissu-women-pink--white-printed-a-line-kurti/11759894/buy</t>
  </si>
  <si>
    <t>the roadster lifestyle co women rose solid round neck pure cotton t shirt</t>
  </si>
  <si>
    <t>Roadster</t>
  </si>
  <si>
    <t>https://www.myntra.com/tshirts/roadster/the-roadster-lifestyle-co-women-rose-solid-round-neck-pure-cotton-t-shirt/13594612/buy</t>
  </si>
  <si>
    <t xml:space="preserve"> 60 % OFF</t>
  </si>
  <si>
    <t>hrx by hrithik roshan women orange hooded active sweatshirt</t>
  </si>
  <si>
    <t>https://www.myntra.com/sweatshirts/hrx-by-hrithik-roshan/hrx-by-hrithik-roshan-women-orange-hooded-active-sweatshirt/4653850/buy</t>
  </si>
  <si>
    <t>L, M, S, XS, XL</t>
  </si>
  <si>
    <t>roadster women mauve  maroon pack of 2 typography print pure cotton t shirts</t>
  </si>
  <si>
    <t>https://www.myntra.com/tshirts/roadster/roadster-women-mauve--maroon-pack-of-2-typography-print-pure-cotton-t-shirts/17382864/buy</t>
  </si>
  <si>
    <t>mast  harbour women pack of 2 cotton t shirts</t>
  </si>
  <si>
    <t>https://www.myntra.com/tshirts/mast--harbour/mast--harbour-women-pack-of-2-cotton-t-shirts/17524582/buy</t>
  </si>
  <si>
    <t>marie claire women blue  red floral print cape top</t>
  </si>
  <si>
    <t>Marie Claire</t>
  </si>
  <si>
    <t>https://www.myntra.com/tops/marie-claire/marie-claire-women-blue--red-floral-print-cape-top/1731802/buy</t>
  </si>
  <si>
    <t>roadster women pack of 2 pure cotton typography print t shirts</t>
  </si>
  <si>
    <t>https://www.myntra.com/tshirts/roadster/roadster-women-pack-of-2-pure-cotton-typography-print-t-shirts/17384818/buy</t>
  </si>
  <si>
    <t>roadster women lavender solid sweatshirt</t>
  </si>
  <si>
    <t>https://www.myntra.com/sweatshirts/roadster/roadster-women-lavender-solid-sweatshirt/11991302/buy</t>
  </si>
  <si>
    <t>herenow women green  golden ethnic print straight kurta</t>
  </si>
  <si>
    <t>https://www.myntra.com/kurtas/herenow/herenow-women-green--golden-ethnic-print-straight-kurta/12530340/buy</t>
  </si>
  <si>
    <t>32B, 34B, 36B, 38B, 40B</t>
  </si>
  <si>
    <t>10% OFF</t>
  </si>
  <si>
    <t>floret pack of 2 full coverage maternity bras</t>
  </si>
  <si>
    <t>bra</t>
  </si>
  <si>
    <t>Lingerie &amp; Sleep Wear</t>
  </si>
  <si>
    <t>Floret</t>
  </si>
  <si>
    <t>https://www.myntra.com/bra/floret/floret-pack-of-2-full-coverage-maternity-bras/762418/buy</t>
  </si>
  <si>
    <t>38, 40, 42, 44, 46, 48</t>
  </si>
  <si>
    <t>roadster men navy blue printed pure cotton sustainable casual shirt</t>
  </si>
  <si>
    <t>https://www.myntra.com/shirts/roadster/roadster-men-navy-blue-printed-pure-cotton-sustainable-casual-shirt/10740920/buy</t>
  </si>
  <si>
    <t>51% OFF</t>
  </si>
  <si>
    <t>hubberholme men solid grey melange solid lounge pants</t>
  </si>
  <si>
    <t>Hubberholme</t>
  </si>
  <si>
    <t>https://www.myntra.com/lounge-pants/hubberholme/hubberholme-men-solid-grey-melange-solid-lounge-pants/8613929/buy</t>
  </si>
  <si>
    <t>70% OFF</t>
  </si>
  <si>
    <t>pluss sea green cinched waist top</t>
  </si>
  <si>
    <t>https://www.myntra.com/tops/pluss/pluss-sea-green-cinched-waist-top/2468600/buy</t>
  </si>
  <si>
    <t>dressberry women lovely olive solid cut out shirt</t>
  </si>
  <si>
    <t>https://www.myntra.com/shirts/dressberry/dressberry-women-lovely-olive-solid-cut-out-shirt/2521376/buy</t>
  </si>
  <si>
    <t>roadster women pack of 2 printed cotton t shirt</t>
  </si>
  <si>
    <t>https://www.myntra.com/tshirts/roadster/roadster-women-pack-of-2-printed-cotton-t-shirt/17385582/buy</t>
  </si>
  <si>
    <t>pluss rust brown  white polka dot print sheath dress with ruched detail</t>
  </si>
  <si>
    <t>https://www.myntra.com/dresses/pluss/pluss-rust-brown--white-polka-dot-print-sheath-dress-with-ruched-detail/13914244/buy</t>
  </si>
  <si>
    <t>saree mall yellow silk blend patola print kanjeevaram saree with unstitched blouse</t>
  </si>
  <si>
    <t>https://www.myntra.com/sarees/saree-mall/saree-mall-yellow-silk-blend-patola-print-kanjeevaram-saree-with-unstitched-blouse/6825162/buy</t>
  </si>
  <si>
    <t>hrx by hrithik roshan men navy melange solid regular fit bio wash lifestyle jogger</t>
  </si>
  <si>
    <t>https://www.myntra.com/track-pants/hrx-by-hrithik-roshan/hrx-by-hrithik-roshan-men-navy-melange-solid-regular-fit-bio-wash-lifestyle-jogger/11998924/buy</t>
  </si>
  <si>
    <t>26, 28, 30, 32, 34, 36, 38, 40</t>
  </si>
  <si>
    <t>moda rapido women navy blue bootcut high rise clean look stretchable jeans</t>
  </si>
  <si>
    <t>https://www.myntra.com/jeans/moda-rapido/moda-rapido-women-navy-blue-bootcut-high-rise-clean-look-stretchable-jeans/9072709/buy</t>
  </si>
  <si>
    <t>wrogn men burgundy solid polo collar slim fit t shirt</t>
  </si>
  <si>
    <t>https://www.myntra.com/tshirts/wrogn/wrogn-men-burgundy-solid-polo-collar-slim-fit-t-shirt/2339460/buy</t>
  </si>
  <si>
    <t>taavi men maroon  black bagru printed straight sustainable kurta with roll up sleeves</t>
  </si>
  <si>
    <t>Taavi</t>
  </si>
  <si>
    <t>https://www.myntra.com/kurtas/taavi/taavi-men-maroon--black-bagru-printed-straight-sustainable-kurta-with-roll-up-sleeves/10384141/buy</t>
  </si>
  <si>
    <t>hubberholme men black slim fit solid cargo joggers</t>
  </si>
  <si>
    <t>https://www.myntra.com/track-pants/hubberholme/hubberholme-men-black-slim-fit-solid-cargo-joggers/13961906/buy</t>
  </si>
  <si>
    <t>64% OFF</t>
  </si>
  <si>
    <t>varanga women turquoise blue geometric striped thread work georgette kurta</t>
  </si>
  <si>
    <t>Varanga</t>
  </si>
  <si>
    <t>https://www.myntra.com/kurtas/varanga/varanga-women-turquoise-blue-geometric-striped-thread-work-georgette-kurta/14489524/buy</t>
  </si>
  <si>
    <t>75% OFF</t>
  </si>
  <si>
    <t>kalini pink  mustard yellow ethnic motifs woven design half  half kanjeevaram saree</t>
  </si>
  <si>
    <t>KALINI</t>
  </si>
  <si>
    <t>https://www.myntra.com/sarees/kalini/kalini-pink--mustard-yellow-ethnic-motifs-woven-design-half--half-kanjeevaram-saree/14879588/buy</t>
  </si>
  <si>
    <t>60% OFF, Hurry*</t>
  </si>
  <si>
    <t>mast  harbour men pack of 3 calf length socks</t>
  </si>
  <si>
    <t>https://www.myntra.com/socks/mast--harbour/mast--harbour-men-pack-of-3-calf-length-socks/10986386/buy</t>
  </si>
  <si>
    <t>hrx by hrithik roshan white cotton athleisure track pants</t>
  </si>
  <si>
    <t>https://www.myntra.com/track-pants/hrx-by-hrithik-roshan/hrx-by-hrithik-roshan-white-cotton-athleisure-track-pants/6791073/buy</t>
  </si>
  <si>
    <t>58% OFF</t>
  </si>
  <si>
    <t>mayra women black solid crop top</t>
  </si>
  <si>
    <t>Mayra</t>
  </si>
  <si>
    <t>https://www.myntra.com/tops/mayra/mayra-women-black-solid-crop-top/4441317/buy</t>
  </si>
  <si>
    <t>M, S, XS, XL, L</t>
  </si>
  <si>
    <t>roadster women navy blue  mauve pink pack of 2 printed round neck knitted t shirts</t>
  </si>
  <si>
    <t>https://www.myntra.com/tshirts/roadster/roadster-women-navy-blue--mauve-pink-pack-of-2-printed-round-neck-knitted-t-shirts/17383642/buy</t>
  </si>
  <si>
    <t>https://www.myntra.com/tshirts/roadster/roadster-women-pack-of-2-printed-cotton-t-shirt/17384862/buy</t>
  </si>
  <si>
    <t>32B, 32C, 32D, 34B, 34C, 34D, 36B, 36C, 36D, 38B, 38C, 38D</t>
  </si>
  <si>
    <t>zivame blue solid non wired non padded t shirt bra zi1882coreablue</t>
  </si>
  <si>
    <t>Zivame</t>
  </si>
  <si>
    <t>https://www.myntra.com/bra/zivame/zivame-blue-solid-non-wired-non-padded-t-shirt-bra-zi1882coreablue/10554970/buy</t>
  </si>
  <si>
    <t>wrogn men blue slim fit colourblocked round neck pure cotton t shirt</t>
  </si>
  <si>
    <t>https://www.myntra.com/tshirts/wrogn/wrogn-men-blue-slim-fit-colourblocked-round-neck-pure-cotton-t-shirt/11363666/buy</t>
  </si>
  <si>
    <t>XL, XXL, L, S, M</t>
  </si>
  <si>
    <t>hrx by hrithik roshan lifestyle men pack of 2 round neck tshirts</t>
  </si>
  <si>
    <t>https://www.myntra.com/tshirts/hrx-by-hrithik-roshan/hrx-by-hrithik-roshan-lifestyle-men-pack-of-2-round-neck-tshirts/16322466/buy</t>
  </si>
  <si>
    <t>roadster men blue skinny fit mid rise clean look stretchable jeans</t>
  </si>
  <si>
    <t>https://www.myntra.com/jeans/roadster/roadster-men-blue-skinny-fit-mid-rise-clean-look-stretchable-jeans/8962463/buy</t>
  </si>
  <si>
    <t>ether women blue solid round neck t shirt</t>
  </si>
  <si>
    <t>ether</t>
  </si>
  <si>
    <t>https://www.myntra.com/tshirts/ether/ether-women-blue-solid-round-neck-t-shirt/1270768/buy</t>
  </si>
  <si>
    <t>sangria women blue solid a line kurta</t>
  </si>
  <si>
    <t>https://www.myntra.com/kurtas/sangria/sangria-women-blue-solid-a-line-kurta/8350403/buy</t>
  </si>
  <si>
    <t>34B, 34C, 36B, 36C</t>
  </si>
  <si>
    <t>zivame blue  yellow solid underwired lightly padded t shirt bra zi1132corezblue</t>
  </si>
  <si>
    <t>https://www.myntra.com/bra/zivame/zivame-blue--yellow-solid-underwired-lightly-padded-t-shirt-bra-zi1132corezblue/6608551/buy</t>
  </si>
  <si>
    <t>ether men teal green chest print round neck pure cotton t shirt</t>
  </si>
  <si>
    <t>https://www.myntra.com/tshirts/ether/ether-men-teal-green-chest-print-round-neck-pure-cotton-t-shirt/11900354/buy</t>
  </si>
  <si>
    <t>38, 40, 42, 44</t>
  </si>
  <si>
    <t>harvard men navy blue  red slim fit checked sustainable casual shirt</t>
  </si>
  <si>
    <t>Harvard</t>
  </si>
  <si>
    <t>https://www.myntra.com/shirts/harvard/harvard-men-navy-blue--red-slim-fit-checked-sustainable-casual-shirt/2358001/buy</t>
  </si>
  <si>
    <t>S, M, L</t>
  </si>
  <si>
    <t>us polo assn men pack of 2 grey solid lounge shorts</t>
  </si>
  <si>
    <t>lounge-shorts</t>
  </si>
  <si>
    <t>U.S. Polo Assn.</t>
  </si>
  <si>
    <t>https://www.myntra.com/lounge-shorts/us-polo-assn/us-polo-assn-men-pack-of-2-grey-solid-lounge-shorts/17977458/buy</t>
  </si>
  <si>
    <t>dressberry green  off white floral printed a line dress</t>
  </si>
  <si>
    <t>https://www.myntra.com/dresses/dressberry/dressberry-green--off-white-floral-printed-a-line-dress/10440650/buy</t>
  </si>
  <si>
    <t>the roadster lifestyle co women pink solid round neck pure cotton t shirt</t>
  </si>
  <si>
    <t>https://www.myntra.com/tshirts/roadster/the-roadster-lifestyle-co-women-pink-solid-round-neck-pure-cotton-t-shirt/9739965/buy</t>
  </si>
  <si>
    <t>roadster women black  white checked pullover</t>
  </si>
  <si>
    <t>sweaters</t>
  </si>
  <si>
    <t>https://www.myntra.com/sweaters/roadster/roadster-women-black--white-checked-pullover/5447367/buy</t>
  </si>
  <si>
    <t>all about you yellow  off white floral print mandarin collar puff sleeve pure cotton top</t>
  </si>
  <si>
    <t>all about you</t>
  </si>
  <si>
    <t>https://www.myntra.com/tops/all-about-you/all-about-you-yellow--off-white-floral-print-mandarin-collar-puff-sleeve-pure-cotton-top/13204882/buy</t>
  </si>
  <si>
    <t>tokyo talkies women mustard orange solid hooded sweatshirt</t>
  </si>
  <si>
    <t>https://www.myntra.com/sweatshirts/tokyo-talkies/tokyo-talkies-women-mustard-orange-solid-hooded-sweatshirt/10742386/buy</t>
  </si>
  <si>
    <t>sangria women white  navy blue printed straight kurta</t>
  </si>
  <si>
    <t>https://www.myntra.com/kurtas/sangria/sangria-women-white--navy-blue-printed-straight-kurta/11174228/buy</t>
  </si>
  <si>
    <t>48% OFF</t>
  </si>
  <si>
    <t>boston club women navy blue  pink printed night suit</t>
  </si>
  <si>
    <t>night-suits</t>
  </si>
  <si>
    <t>Boston Club</t>
  </si>
  <si>
    <t>https://www.myntra.com/night-suits/boston-club/boston-club-women-navy-blue--pink-printed-night-suit/13567602/buy</t>
  </si>
  <si>
    <t>inddus women marron net sheer sequinned kurta with sharara  dupatta</t>
  </si>
  <si>
    <t>kurta-sets</t>
  </si>
  <si>
    <t>Inddus</t>
  </si>
  <si>
    <t>https://www.myntra.com/kurta-sets/inddus/inddus-women-marron-net-sheer-sequinned-kurta-with-sharara--dupatta/13895560/buy</t>
  </si>
  <si>
    <t>30, 32, 34, 36, 38</t>
  </si>
  <si>
    <t>53% OFF</t>
  </si>
  <si>
    <t>highlander men black slim tapered fit mid rise clean look stretchable jeans</t>
  </si>
  <si>
    <t>https://www.myntra.com/jeans/highlander/highlander-men-black-slim-tapered-fit-mid-rise-clean-look-stretchable-jeans/3855148/buy</t>
  </si>
  <si>
    <t>roadster women charcoal grey super skinny fit solid denim treggings</t>
  </si>
  <si>
    <t>jeggings</t>
  </si>
  <si>
    <t>https://www.myntra.com/jeggings/roadster/roadster-women-charcoal-grey-super-skinny-fit-solid-denim-treggings/11489514/buy</t>
  </si>
  <si>
    <t>roadster women navy skinny fit mid rise clean look stretchable cropped jeans</t>
  </si>
  <si>
    <t>https://www.myntra.com/jeans/roadster/roadster-women-navy-skinny-fit-mid-rise-clean-look-stretchable-cropped-jeans/6995097/buy</t>
  </si>
  <si>
    <t>moda rapido women grey graphic printed longline cotton pure cotton t shirt</t>
  </si>
  <si>
    <t>https://www.myntra.com/tshirts/moda-rapido/moda-rapido-women-grey-graphic-printed-longline-cotton-pure-cotton-t-shirt/12018218/buy</t>
  </si>
  <si>
    <t>S, M, L, XL, XXL, 3XL</t>
  </si>
  <si>
    <t>63% OFF</t>
  </si>
  <si>
    <t>yuris women blue  peach coloured printed kurta with trousers  dupatta</t>
  </si>
  <si>
    <t>Yuris</t>
  </si>
  <si>
    <t>https://www.myntra.com/kurta-sets/yuris/yuris-women-blue--peach-coloured-printed-kurta-with-trousers--dupatta/13530352/buy</t>
  </si>
  <si>
    <t>kook n keech men red  white colourblocked sweatshirt</t>
  </si>
  <si>
    <t>Kook N Keech</t>
  </si>
  <si>
    <t>https://www.myntra.com/sweatshirts/kook-n-keech/kook-n-keech-men-red--white-colourblocked-sweatshirt/2118953/buy</t>
  </si>
  <si>
    <t>roadster men coffee brown  black checked pure cotton sustainable casual shirt</t>
  </si>
  <si>
    <t>https://www.myntra.com/shirts/roadster/roadster-men-coffee-brown--black-checked-pure-cotton-sustainable-casual-shirt/11896036/buy</t>
  </si>
  <si>
    <t>66% OFF</t>
  </si>
  <si>
    <t>tag 7 women black solid ankle length leggings</t>
  </si>
  <si>
    <t>leggings</t>
  </si>
  <si>
    <t>TAG 7</t>
  </si>
  <si>
    <t>https://www.myntra.com/leggings/tag-7/tag-7-women-black-solid-ankle-length-leggings/10480828/buy</t>
  </si>
  <si>
    <t>roadster men grey typography printed pure cotton casual sustainable shirt</t>
  </si>
  <si>
    <t>https://www.myntra.com/shirts/roadster/roadster-men-grey-typography-printed-pure-cotton-casual-sustainable-shirt/10944710/buy</t>
  </si>
  <si>
    <t>28, 30, 32, 34, 36</t>
  </si>
  <si>
    <t>roadster men navy blue slim fit pure cotton sustainable chinos</t>
  </si>
  <si>
    <t>https://www.myntra.com/trousers/roadster/roadster-men-navy-blue-slim-fit-pure-cotton-sustainable-chinos/2119005/buy</t>
  </si>
  <si>
    <t>hrx by hrithik roshan men grey melange solid slim fit rapid dry running track pants</t>
  </si>
  <si>
    <t>https://www.myntra.com/track-pants/hrx-by-hrithik-roshan/hrx-by-hrithik-roshan-men-grey-melange-solid-slim-fit-rapid-dry-running-track-pants/8328405/buy</t>
  </si>
  <si>
    <t>roadster women mustard brown  charcoal grey colourblocked round neck t shirt</t>
  </si>
  <si>
    <t>https://www.myntra.com/tshirts/roadster/roadster-women-mustard-brown--charcoal-grey-colourblocked-round-neck-t-shirt/2519738/buy</t>
  </si>
  <si>
    <t>roadster men black  red printed pure cotton sustainable casual shirt</t>
  </si>
  <si>
    <t>https://www.myntra.com/shirts/roadster/roadster-men-black--red-printed-pure-cotton-sustainable-casual-shirt/11895978/buy</t>
  </si>
  <si>
    <t>roadster men beige printed regular fit chino shorts</t>
  </si>
  <si>
    <t>shorts</t>
  </si>
  <si>
    <t>https://www.myntra.com/shorts/roadster/roadster-men-beige-printed-regular-fit-chino-shorts/2387568/buy</t>
  </si>
  <si>
    <t>locomotive men white slim fit mid rise clean look stretchable jeans</t>
  </si>
  <si>
    <t>https://www.myntra.com/jeans/locomotive/locomotive-men-white-slim-fit-mid-rise-clean-look-stretchable-jeans/8064707/buy</t>
  </si>
  <si>
    <t>XS, S, M, L</t>
  </si>
  <si>
    <t>street 9 black  beige animal printed flared sleeves chiffon blouson crop top</t>
  </si>
  <si>
    <t>STREET 9</t>
  </si>
  <si>
    <t>https://www.myntra.com/tops/street-9/street-9-black--beige-animal-printed-flared-sleeves-chiffon-blouson-crop-top/13904908/buy</t>
  </si>
  <si>
    <t>26, 28, 30, 32</t>
  </si>
  <si>
    <t>tokyo talkies women lavender solid regular fit cotton sports shorts</t>
  </si>
  <si>
    <t>https://www.myntra.com/shorts/tokyo-talkies/tokyo-talkies-women-lavender-solid-regular-fit-cotton-sports-shorts/14063010/buy</t>
  </si>
  <si>
    <t>mitera pink  green art silk woven design half  half banarasi saree</t>
  </si>
  <si>
    <t>https://www.myntra.com/sarees/mitera/mitera-pink--green-art-silk-woven-design-half--half-banarasi-saree/11457308/buy</t>
  </si>
  <si>
    <t>herenow women white  yellow striped straight kurta</t>
  </si>
  <si>
    <t>https://www.myntra.com/kurtas/herenow/herenow-women-white--yellow-striped-straight-kurta/12524820/buy</t>
  </si>
  <si>
    <t>hrx by hrithik roshan men red printed round neck athleisure pure cotton t shirt</t>
  </si>
  <si>
    <t>https://www.myntra.com/tshirts/hrx-by-hrithik-roshan/hrx-by-hrithik-roshan-men-red-printed-round-neck-athleisure-pure-cotton-t-shirt/6825457/buy</t>
  </si>
  <si>
    <t>roadster men burgundy all over print round neck t shirt</t>
  </si>
  <si>
    <t>https://www.myntra.com/tshirts/roadster/roadster-men-burgundy-all-over-print-round-neck-t-shirt/8938961/buy</t>
  </si>
  <si>
    <t>mast  harbour men blue regular fit solid casual  linen sustainable shirt</t>
  </si>
  <si>
    <t>https://www.myntra.com/shirts/mast--harbour/mast--harbour-men-blue-regular-fit-solid-casual--linen-sustainable-shirt/11369814/buy</t>
  </si>
  <si>
    <t>wrogn men blue faded cotton casual shirt</t>
  </si>
  <si>
    <t>https://www.myntra.com/shirts/wrogn/wrogn-men-blue-faded-cotton-casual-shirt/11361514/buy</t>
  </si>
  <si>
    <t>jockey international collection men turquoise blue solid briefs ic27</t>
  </si>
  <si>
    <t>briefs</t>
  </si>
  <si>
    <t>Jockey</t>
  </si>
  <si>
    <t>https://www.myntra.com/briefs/jockey/jockey-international-collection-men-turquoise-blue-solid-briefs-ic27/11036298/buy</t>
  </si>
  <si>
    <t>tokyo talkies women brown solid slim fit track pants</t>
  </si>
  <si>
    <t>https://www.myntra.com/track-pants/tokyo-talkies/tokyo-talkies-women-brown-solid-slim-fit-track-pants/14062988/buy</t>
  </si>
  <si>
    <t>dressberry women pretty pink solid puff sleeves top</t>
  </si>
  <si>
    <t>https://www.myntra.com/tops/dressberry/dressberry-women-pretty-pink-solid-puff-sleeves-top/11002194/buy</t>
  </si>
  <si>
    <t>scorpious women pack of two tops</t>
  </si>
  <si>
    <t>SCORPIUS</t>
  </si>
  <si>
    <t>https://www.myntra.com/tops/scorpius/scorpious-women-pack-of-two-tops/9339527/buy</t>
  </si>
  <si>
    <t>roadster women rust brown  dusty pink pack of 2 printed drop shoulder sleeves t shirts</t>
  </si>
  <si>
    <t>https://www.myntra.com/tshirts/roadster/roadster-women-rust-brown--dusty-pink-pack-of-2-printed-drop-shoulder-sleeves-t-shirts/17383580/buy</t>
  </si>
  <si>
    <t>harvard women teal blue solid regular fit cropped joggers</t>
  </si>
  <si>
    <t>https://www.myntra.com/track-pants/harvard/harvard-women-teal-blue-solid-regular-fit-cropped-joggers/12374414/buy</t>
  </si>
  <si>
    <t>saree mall green solid saree</t>
  </si>
  <si>
    <t>https://www.myntra.com/sarees/saree-mall/saree-mall-green-solid-saree/11083546/buy</t>
  </si>
  <si>
    <t>XS, S, M, L, XL, XXL, 3XL, 4XL</t>
  </si>
  <si>
    <t>anouk women teal blue  white striped kurta</t>
  </si>
  <si>
    <t>Anouk</t>
  </si>
  <si>
    <t>https://www.myntra.com/kurtas/anouk/anouk-women-teal-blue--white-striped-kurta/13789746/buy</t>
  </si>
  <si>
    <t>ishin magenta  black poly georgette printed saree</t>
  </si>
  <si>
    <t>Ishin</t>
  </si>
  <si>
    <t>https://www.myntra.com/sarees/ishin/ishin-magenta--black-poly-georgette-printed-saree/9720893/buy</t>
  </si>
  <si>
    <t>mast  harbour men magenta  orange checked pure cotton sustainable casual shirt</t>
  </si>
  <si>
    <t>https://www.myntra.com/shirts/mast--harbour/mast--harbour-men-magenta--orange-checked-pure-cotton-sustainable-casual-shirt/11194956/buy</t>
  </si>
  <si>
    <t>roadster men navy blue  brown checked sustainable casual shirt</t>
  </si>
  <si>
    <t>https://www.myntra.com/shirts/roadster/roadster-men-navy-blue--brown-checked-sustainable-casual-shirt/1376232/buy</t>
  </si>
  <si>
    <t>roadster men navy slim fit pure cotton joggers</t>
  </si>
  <si>
    <t>https://www.myntra.com/trousers/roadster/roadster-men-navy-slim-fit-pure-cotton-joggers/2291339/buy</t>
  </si>
  <si>
    <t>sassafras brown empire flared dress</t>
  </si>
  <si>
    <t>SASSAFRAS</t>
  </si>
  <si>
    <t>https://www.myntra.com/dresses/sassafras/sassafras-brown-empire-flared-dress/9070049/buy</t>
  </si>
  <si>
    <t>veni vidi vici maroon one shoulder fitted crop top</t>
  </si>
  <si>
    <t>Veni Vidi Vici</t>
  </si>
  <si>
    <t>https://www.myntra.com/tops/veni-vidi-vici/veni-vidi-vici-maroon-one-shoulder-fitted-crop-top/1973570/buy</t>
  </si>
  <si>
    <t>Rs. 2216 OFF</t>
  </si>
  <si>
    <t>ahalyaa black  green floral printed maxi dress</t>
  </si>
  <si>
    <t>Ahalyaa</t>
  </si>
  <si>
    <t>https://www.myntra.com/dresses/ahalyaa/ahalyaa-black--green-floral-printed-maxi-dress/9689953/buy</t>
  </si>
  <si>
    <t>louis philippe sport men purple brand logo polo collar t shirt</t>
  </si>
  <si>
    <t>Louis Philippe Sport</t>
  </si>
  <si>
    <t>https://www.myntra.com/tshirts/louis-philippe-sport/louis-philippe-sport-men-purple-brand-logo-polo-collar-t-shirt/14311864/buy</t>
  </si>
  <si>
    <t>hrx by hrithik roshan men grey solid high neck t shirt</t>
  </si>
  <si>
    <t>https://www.myntra.com/tshirts/hrx-by-hrithik-roshan/hrx-by-hrithik-roshan-men-grey-solid-high-neck-t-shirt/2520585/buy</t>
  </si>
  <si>
    <t>Rs. 400 OFF</t>
  </si>
  <si>
    <t>mast  harbour women twin collection white  navy blue striped round neck pure cotton t shirt</t>
  </si>
  <si>
    <t>https://www.myntra.com/tshirts/mast--harbour/mast--harbour-women-twin-collection-white--navy-blue-striped-round-neck-pure-cotton-t-shirt/8315901/buy</t>
  </si>
  <si>
    <t>kook n keech marvel women white  red printed round neck pure cotton t shirt</t>
  </si>
  <si>
    <t>Kook N Keech Marvel</t>
  </si>
  <si>
    <t>https://www.myntra.com/tshirts/kook-n-keech-marvel/kook-n-keech-marvel-women-white--red-printed-round-neck-pure-cotton-t-shirt/8972461/buy</t>
  </si>
  <si>
    <t>herenow women grey solid cropped denim jacket</t>
  </si>
  <si>
    <t>jackets</t>
  </si>
  <si>
    <t>https://www.myntra.com/jackets/herenow/herenow-women-grey-solid-cropped-denim-jacket/10300853/buy</t>
  </si>
  <si>
    <t>herenow white  pink lightweight cotton floral print fit  flare dress</t>
  </si>
  <si>
    <t>https://www.myntra.com/dresses/herenow/herenow-white--pink-lightweight-cotton-floral-print-fit--flare-dress/2056708/buy</t>
  </si>
  <si>
    <t>campus sutra men grey solid mandarin collar t shirt</t>
  </si>
  <si>
    <t>https://www.myntra.com/tshirts/campus-sutra/campus-sutra-men-grey-solid-mandarin-collar-t-shirt/10890962/buy</t>
  </si>
  <si>
    <t>us polo assn men assorted trunk 10353589</t>
  </si>
  <si>
    <t>trunk</t>
  </si>
  <si>
    <t>https://www.myntra.com/trunk/us-polo-assn/us-polo-assn-men-assorted-trunk-10353589/10353589/buy</t>
  </si>
  <si>
    <t>28, 30, 32, 34, 36, 38</t>
  </si>
  <si>
    <t>wrogn men black slim fit mid rise clean look stretchable jeans</t>
  </si>
  <si>
    <t>https://www.myntra.com/jeans/wrogn/wrogn-men-black-slim-fit-mid-rise-clean-look-stretchable-jeans/10187447/buy</t>
  </si>
  <si>
    <t>26, 28, 30, 32, 34</t>
  </si>
  <si>
    <t>miss chase women navy blue slim fit high rise clean look jeans</t>
  </si>
  <si>
    <t>Miss Chase</t>
  </si>
  <si>
    <t>https://www.myntra.com/jeans/miss-chase/miss-chase-women-navy-blue-slim-fit-high-rise-clean-look-jeans/7744508/buy</t>
  </si>
  <si>
    <t xml:space="preserve"> 45 % OFF</t>
  </si>
  <si>
    <t>anouk white mandarin collar empire top</t>
  </si>
  <si>
    <t>https://www.myntra.com/tops/anouk/anouk-white-mandarin-collar-empire-top/13238794/buy</t>
  </si>
  <si>
    <t>32B, 32C, 32D, 34B, 34C, 34D, 36B, 36C, 36D, 38B, 38C, 38D, 40C, 40D</t>
  </si>
  <si>
    <t>amante nude printed non wired lightly padded t shirt bra</t>
  </si>
  <si>
    <t>Amante</t>
  </si>
  <si>
    <t>https://www.myntra.com/bra/amante/amante-nude-printed-non-wired-lightly-padded-t-shirt-bra/1839663/buy</t>
  </si>
  <si>
    <t>twin birds women white solid ankle length leggings</t>
  </si>
  <si>
    <t>TWIN BIRDS</t>
  </si>
  <si>
    <t>https://www.myntra.com/leggings/twin-birds/twin-birds-women-white-solid-ankle-length-leggings/11244106/buy</t>
  </si>
  <si>
    <t>mitera navy blue sequinned pure georgette saree</t>
  </si>
  <si>
    <t>https://www.myntra.com/sarees/mitera/mitera-navy-blue-sequinned-pure-georgette-saree/12047292/buy</t>
  </si>
  <si>
    <t>her by invictus women olive green regular fit solid formal shirt</t>
  </si>
  <si>
    <t>her by invictus</t>
  </si>
  <si>
    <t>https://www.myntra.com/shirts/her-by-invictus/her-by-invictus-women-olive-green-regular-fit-solid-formal-shirt/6939244/buy</t>
  </si>
  <si>
    <t>roadster women dusty pink pack of 2 typography print round neck t shirts</t>
  </si>
  <si>
    <t>https://www.myntra.com/tshirts/roadster/roadster-women-dusty-pink-pack-of-2-typography-print-round-neck-t-shirts/17383590/buy</t>
  </si>
  <si>
    <t>XL, M, S, L</t>
  </si>
  <si>
    <t>dressberry women pack of 2 solid pure cotton t shirts</t>
  </si>
  <si>
    <t>https://www.myntra.com/tshirts/dressberry/dressberry-women-pack-of-2-solid-pure-cotton-t-shirts/17476318/buy</t>
  </si>
  <si>
    <t>sangria yellow floral printed cotton a line dress</t>
  </si>
  <si>
    <t>https://www.myntra.com/dresses/sangria/sangria-yellow-floral-printed-cotton-a-line-dress/8349249/buy</t>
  </si>
  <si>
    <t>shaily cream coloured  blue pure silk woven design banarasi saree</t>
  </si>
  <si>
    <t>Shaily</t>
  </si>
  <si>
    <t>https://www.myntra.com/sarees/shaily/shaily-cream-coloured--blue-pure-silk-woven-design-banarasi-saree/10037083/buy</t>
  </si>
  <si>
    <t>kook n keech superman men white printed round neck pure cotton t shirt</t>
  </si>
  <si>
    <t>Kook N Keech Superman</t>
  </si>
  <si>
    <t>https://www.myntra.com/tshirts/kook-n-keech-superman/kook-n-keech-superman-men-white-printed-round-neck-pure-cotton-t-shirt/10283867/buy</t>
  </si>
  <si>
    <t>mast  harbour women green solid round neck t shirt</t>
  </si>
  <si>
    <t>https://www.myntra.com/tshirts/mast--harbour/mast--harbour-women-green-solid-round-neck-t-shirt/2464258/buy</t>
  </si>
  <si>
    <t>athena black embellished sheath dress</t>
  </si>
  <si>
    <t>Athena</t>
  </si>
  <si>
    <t>https://www.myntra.com/dresses/athena/athena-black-embellished-sheath-dress/11312196/buy</t>
  </si>
  <si>
    <t>dressberry women blue skinny fit mid rise slash knee stretchable jeans</t>
  </si>
  <si>
    <t>https://www.myntra.com/jeans/dressberry/dressberry-women-blue-skinny-fit-mid-rise-slash-knee-stretchable-jeans/2202564/buy</t>
  </si>
  <si>
    <t>pluss women green solid top</t>
  </si>
  <si>
    <t>https://www.myntra.com/tops/pluss/pluss-women-green-solid-top/2299528/buy</t>
  </si>
  <si>
    <t>herenow women blue  olive green floral printed straight kurta</t>
  </si>
  <si>
    <t>https://www.myntra.com/kurtas/herenow/herenow-women-blue--olive-green-floral-printed-straight-kurta/12530334/buy</t>
  </si>
  <si>
    <t>32B, 32C, 32D, 34B, 34C, 34D, 36B, 36C, 36D</t>
  </si>
  <si>
    <t>37% OFF</t>
  </si>
  <si>
    <t>fashionrack beige solid non wired lightly padded stick on push up bra</t>
  </si>
  <si>
    <t>FashionRack</t>
  </si>
  <si>
    <t>https://www.myntra.com/bra/fashionrack/fashionrack-beige-solid-non-wired-lightly-padded-stick-on-push-up-bra/9382253/buy</t>
  </si>
  <si>
    <t>32B, 32C, 34B, 34C, 34D, 36B, 36C, 36D, 38B, 38C, 38D</t>
  </si>
  <si>
    <t>dressberry maroon solid non wired non padded everyday bra db wond bra 006a</t>
  </si>
  <si>
    <t>https://www.myntra.com/bra/dressberry/dressberry-maroon-solid-non-wired-non-padded-everyday-bra-db-wond-bra-006a/10939832/buy</t>
  </si>
  <si>
    <t>22% OFF</t>
  </si>
  <si>
    <t>zivame beige solid boy shorts zi60b8core0skin</t>
  </si>
  <si>
    <t>https://www.myntra.com/briefs/zivame/zivame-beige-solid-boy-shorts-zi60b8core0skin/12398628/buy</t>
  </si>
  <si>
    <t>wrogn men black slim fit cotton t shirt</t>
  </si>
  <si>
    <t>https://www.myntra.com/tshirts/wrogn/wrogn-men-black-slim-fit-cotton-t-shirt/2339490/buy</t>
  </si>
  <si>
    <t>highlander men black washed slim fit denim shorts</t>
  </si>
  <si>
    <t>https://www.myntra.com/shorts/highlander/highlander-men-black-washed-slim-fit-denim-shorts/8120171/buy</t>
  </si>
  <si>
    <t>tokyo talkies women beige regular fit self design parallel trousers</t>
  </si>
  <si>
    <t>https://www.myntra.com/trousers/tokyo-talkies/tokyo-talkies-women-beige-regular-fit-self-design-parallel-trousers/12209962/buy</t>
  </si>
  <si>
    <t>the roadster lifestyle co women blue skinny fit mid rise clean look stretchable cropped jeans</t>
  </si>
  <si>
    <t>https://www.myntra.com/jeans/roadster/the-roadster-lifestyle-co-women-blue-skinny-fit-mid-rise-clean-look-stretchable-cropped-jeans/9205397/buy</t>
  </si>
  <si>
    <t>hrx by hrithik roshan women black self design rapid dry seamless yoga tights</t>
  </si>
  <si>
    <t>tights</t>
  </si>
  <si>
    <t>https://www.myntra.com/tights/hrx-by-hrithik-roshan/hrx-by-hrithik-roshan-women-black-self-design-rapid-dry-seamless-yoga-tights/10106321/buy</t>
  </si>
  <si>
    <t>sangria red  white geometric printed cotton a line dress</t>
  </si>
  <si>
    <t>https://www.myntra.com/dresses/sangria/sangria-red--white-geometric-printed-cotton-a-line-dress/11174192/buy</t>
  </si>
  <si>
    <t>M, L, XL, XXL</t>
  </si>
  <si>
    <t>25% OFF</t>
  </si>
  <si>
    <t>lady lyka pack of 3 printed hipster high rise pure cotton briefs galaxy 3</t>
  </si>
  <si>
    <t>Lady Lyka</t>
  </si>
  <si>
    <t>https://www.myntra.com/briefs/lady-lyka/lady-lyka-pack-of-3-printed-hipster-high-rise-pure-cotton-briefs-galaxy-3/14028894/buy</t>
  </si>
  <si>
    <t>locomotive men green  white slim fit checked casual shirt</t>
  </si>
  <si>
    <t>https://www.myntra.com/shirts/locomotive/locomotive-men-green--white-slim-fit-checked-casual-shirt/11069362/buy</t>
  </si>
  <si>
    <t>roadster men navy blue  yellow striped polo collar pure cotton t shirt</t>
  </si>
  <si>
    <t>https://www.myntra.com/tshirts/roadster/roadster-men-navy-blue--yellow-striped-polo-collar-pure-cotton-t-shirt/9345341/buy</t>
  </si>
  <si>
    <t>roadster men olive brown cotton sustainable casual shirt</t>
  </si>
  <si>
    <t>https://www.myntra.com/shirts/roadster/roadster-men-olive-brown-cotton-sustainable-casual-shirt/11903984/buy</t>
  </si>
  <si>
    <t>hrx by hrithik roshan men ankle length pack of 3 quick dry socks</t>
  </si>
  <si>
    <t>https://www.myntra.com/socks/hrx-by-hrithik-roshan/hrx-by-hrithik-roshan-men-ankle-length-pack-of-3-quick-dry-socks/10986454/buy</t>
  </si>
  <si>
    <t>roadster women pack of 2 cotton t shirt</t>
  </si>
  <si>
    <t>https://www.myntra.com/tshirts/roadster/roadster-women-pack-of-2-cotton-t-shirt/17382032/buy</t>
  </si>
  <si>
    <t>roadster greenturn women pink solid hooded sustainable sweatshirt</t>
  </si>
  <si>
    <t>https://www.myntra.com/sweatshirts/roadster/roadster-greenturn-women-pink-solid-hooded-sustainable-sweatshirt/12335282/buy</t>
  </si>
  <si>
    <t>30B, 30C, 32B, 32C, 32D, 34B, 34D, 34DD, 36B, 36C, 36D, 36DD, 38B, 38C, 38D, 40C, 40D</t>
  </si>
  <si>
    <t>44% OFF</t>
  </si>
  <si>
    <t>zivame black solid non wired lightly padded t shirt bra zi1175fasheblak</t>
  </si>
  <si>
    <t>https://www.myntra.com/bra/zivame/zivame-black-solid-non-wired-lightly-padded-t-shirt-bra-zi1175fasheblak/12415698/buy</t>
  </si>
  <si>
    <t>32DD, 32E, 34DD, 34E, 34F, 36DD, 36E, 36F, 38DD, 38E, 38F, 40C, 40D, 40DD, 40E, 42C, 42D, 42DD, 42E, 44C, 44D, 44DD, 44E</t>
  </si>
  <si>
    <t>5% OFF</t>
  </si>
  <si>
    <t>zivame peach coloured solid non wired non padded everyday bra</t>
  </si>
  <si>
    <t>https://www.myntra.com/bra/zivame/zivame-peach-coloured-solid-non-wired-non-padded-everyday-bra/11228146/buy</t>
  </si>
  <si>
    <t>roadster men navy blue  green summer check sustainable casual shirt</t>
  </si>
  <si>
    <t>https://www.myntra.com/shirts/roadster/roadster-men-navy-blue--green-summer-check-sustainable-casual-shirt/8225991/buy</t>
  </si>
  <si>
    <t>hrx by hrithik roshan men black  navy blue colourblocked joggers</t>
  </si>
  <si>
    <t>https://www.myntra.com/track-pants/hrx-by-hrithik-roshan/hrx-by-hrithik-roshan-men-black--navy-blue-colourblocked-joggers/2520652/buy</t>
  </si>
  <si>
    <t>mast  harbour men black regular fit solid chinos</t>
  </si>
  <si>
    <t>https://www.myntra.com/trousers/mast--harbour/mast--harbour-men-black-regular-fit-solid-chinos/13204530/buy</t>
  </si>
  <si>
    <t>hrx by hrithik roshan men blue solid regular fit rapid dry cricket track pants</t>
  </si>
  <si>
    <t>https://www.myntra.com/track-pants/hrx-by-hrithik-roshan/hrx-by-hrithik-roshan-men-blue-solid-regular-fit-rapid-dry-cricket-track-pants/11640718/buy</t>
  </si>
  <si>
    <t>herenow embroidered wine viscose kurta</t>
  </si>
  <si>
    <t>https://www.myntra.com/kurtas/herenow/herenow-embroidered-wine-viscose-kurta/7270152/buy</t>
  </si>
  <si>
    <t>herenow women green  navy blue floral print straight kurta</t>
  </si>
  <si>
    <t>https://www.myntra.com/kurtas/herenow/herenow-women-green--navy-blue-floral-print-straight-kurta/12524814/buy</t>
  </si>
  <si>
    <t>32B, 32C, 32D, 34B, 34C, 34D, 36B, 36C, 36D, 38B, 38C</t>
  </si>
  <si>
    <t>26% OFF</t>
  </si>
  <si>
    <t>zivame white solid non wired lightly padded t shirt bra zi1137corewhite</t>
  </si>
  <si>
    <t>https://www.myntra.com/bra/zivame/zivame-white-solid-non-wired-lightly-padded-t-shirt-bra-zi1137corewhite/5432681/buy</t>
  </si>
  <si>
    <t>kook n keech red printed hooded sweatshirt</t>
  </si>
  <si>
    <t>https://www.myntra.com/sweatshirts/kook-n-keech/kook-n-keech-red-printed-hooded-sweatshirt/1395990/buy</t>
  </si>
  <si>
    <t>see designs men blue  white printed kurta with pyjamas</t>
  </si>
  <si>
    <t>See Designs</t>
  </si>
  <si>
    <t>https://www.myntra.com/kurta-sets/see-designs/see-designs-men-blue--white-printed-kurta-with-pyjamas/12960838/buy</t>
  </si>
  <si>
    <t>roadster women blue flared mid rise clean look stretchable jeans</t>
  </si>
  <si>
    <t>https://www.myntra.com/jeans/roadster/roadster-women-blue-flared-mid-rise-clean-look-stretchable-jeans/11045890/buy</t>
  </si>
  <si>
    <t>highlander men blue  white slim fit colourblocked casual shirt</t>
  </si>
  <si>
    <t>https://www.myntra.com/shirts/highlander/highlander-men-blue--white-slim-fit-colourblocked-casual-shirt/10004115/buy</t>
  </si>
  <si>
    <t>highlander men beige solid regular fit chino shorts</t>
  </si>
  <si>
    <t>https://www.myntra.com/shorts/highlander/highlander-men-beige-solid-regular-fit-chino-shorts/8120161/buy</t>
  </si>
  <si>
    <t>28, 30, 32, 34, 36, 38, 40</t>
  </si>
  <si>
    <t>dennison men white smart tapered fit cropped trousers</t>
  </si>
  <si>
    <t>DENNISON</t>
  </si>
  <si>
    <t>https://www.myntra.com/trousers/dennison/dennison-men-white-smart-tapered-fit-cropped-trousers/10604374/buy</t>
  </si>
  <si>
    <t>wrogn men blue skinny fit mid rise clean look stretchable jeans</t>
  </si>
  <si>
    <t>https://www.myntra.com/jeans/wrogn/wrogn-men-blue-skinny-fit-mid-rise-clean-look-stretchable-jeans/2032838/buy</t>
  </si>
  <si>
    <t>roadster women pack of 2 solid pure cotton t shirts</t>
  </si>
  <si>
    <t>https://www.myntra.com/tshirts/roadster/roadster-women-pack-of-2-solid-pure-cotton-t-shirts/17381370/buy</t>
  </si>
  <si>
    <t>dressberry women pink floral printed a line dress</t>
  </si>
  <si>
    <t>https://www.myntra.com/dresses/dressberry/dressberry-women-pink-floral-printed-a-line-dress/10526804/buy</t>
  </si>
  <si>
    <t>street 9 burgundy self design crop pure cotton top</t>
  </si>
  <si>
    <t>https://www.myntra.com/tops/street-9/street-9-burgundy-self-design-crop-pure-cotton-top/7287325/buy</t>
  </si>
  <si>
    <t>anubhutee women green  white bandhani printed cotton night suit</t>
  </si>
  <si>
    <t>Anubhutee</t>
  </si>
  <si>
    <t>https://www.myntra.com/night-suits/anubhutee/anubhutee-women-green--white-bandhani-printed-cotton-night-suit/13021512/buy</t>
  </si>
  <si>
    <t>vishudh women green printed anarkali kurta</t>
  </si>
  <si>
    <t>https://www.myntra.com/kurtas/vishudh/vishudh-women-green-printed-anarkali-kurta/6942355/buy</t>
  </si>
  <si>
    <t>anouk green  blue striped pure cotton a line dress</t>
  </si>
  <si>
    <t>https://www.myntra.com/dresses/anouk/anouk-green--blue-striped-pure-cotton-a-line-dress/11199374/buy</t>
  </si>
  <si>
    <t>herenow men teal blue solid round neck t shirt</t>
  </si>
  <si>
    <t>https://www.myntra.com/tshirts/herenow/herenow-men-teal-blue-solid-round-neck-t-shirt/12787018/buy</t>
  </si>
  <si>
    <t>52% OFF</t>
  </si>
  <si>
    <t>highlander men black solid jogger mid rise clean look stretchable jeans</t>
  </si>
  <si>
    <t>https://www.myntra.com/jeans/highlander/highlander-men-black-solid-jogger-mid-rise-clean-look-stretchable-jeans/5814349/buy</t>
  </si>
  <si>
    <t>roadster men blue skinny fit mid rise clean look acid wash stretchable jeans</t>
  </si>
  <si>
    <t>https://www.myntra.com/jeans/roadster/roadster-men-blue-skinny-fit-mid-rise-clean-look-acid-wash-stretchable-jeans/10046861/buy</t>
  </si>
  <si>
    <t>hubberholme men pack of 2 solid track pants</t>
  </si>
  <si>
    <t>https://www.myntra.com/track-pants/hubberholme/hubberholme-men-pack-of-2-solid-track-pants/15008088/buy</t>
  </si>
  <si>
    <t>the roadster lifestyle co women white regular fit solid casual shirt</t>
  </si>
  <si>
    <t>https://www.myntra.com/shirts/roadster/the-roadster-lifestyle-co-women-white-regular-fit-solid-casual-shirt/9656251/buy</t>
  </si>
  <si>
    <t>roadster men black  white regular fit printed casual sustainable shirt</t>
  </si>
  <si>
    <t>https://www.myntra.com/shirts/roadster/roadster-men-black--white-regular-fit-printed-casual-sustainable-shirt/10944438/buy</t>
  </si>
  <si>
    <t>moda rapido off white slim fit mid rise slash knee jeans</t>
  </si>
  <si>
    <t>https://www.myntra.com/jeans/moda-rapido/moda-rapido-off-white-slim-fit-mid-rise-slash-knee-jeans/1959220/buy</t>
  </si>
  <si>
    <t>the roadster lifestyle co women peach coloured solid puffer jacket</t>
  </si>
  <si>
    <t>https://www.myntra.com/jackets/roadster/the-roadster-lifestyle-co-women-peach-coloured-solid-puffer-jacket/9479095/buy</t>
  </si>
  <si>
    <t>herenow women black skinny fit high rise clean look stretchable jeans</t>
  </si>
  <si>
    <t>https://www.myntra.com/jeans/herenow/herenow-women-black-skinny-fit-high-rise-clean-look-stretchable-jeans/13532336/buy</t>
  </si>
  <si>
    <t>nayo burgundy  white floral printed pure cotton top</t>
  </si>
  <si>
    <t>Nayo</t>
  </si>
  <si>
    <t>https://www.myntra.com/tops/nayo/nayo-burgundy--white-floral-printed-pure-cotton-top/13706216/buy</t>
  </si>
  <si>
    <t>locomotive men blue  mauve slim fit printed casual shirt</t>
  </si>
  <si>
    <t>https://www.myntra.com/shirts/locomotive/locomotive-men-blue--mauve-slim-fit-printed-casual-shirt/12032544/buy</t>
  </si>
  <si>
    <t>hrx by hrithik roshan men grey running t shirt</t>
  </si>
  <si>
    <t>https://www.myntra.com/tshirts/hrx-by-hrithik-roshan/hrx-by-hrithik-roshan-men-grey-running-t-shirt/10106211/buy</t>
  </si>
  <si>
    <t>26, 28, 30, 32, 34, 36, 38, 40, 42, 44</t>
  </si>
  <si>
    <t>high star women black slim fit high rise clean look stretchable jeans</t>
  </si>
  <si>
    <t>High Star</t>
  </si>
  <si>
    <t>https://www.myntra.com/jeans/high-star/high-star-women-black-slim-fit-high-rise-clean-look-stretchable-jeans/11554556/buy</t>
  </si>
  <si>
    <t>roadster women mustard brown fleece solid hooded sweatshirt</t>
  </si>
  <si>
    <t>https://www.myntra.com/sweatshirts/roadster/roadster-women-mustard-brown-fleece-solid-hooded-sweatshirt/11991426/buy</t>
  </si>
  <si>
    <t>the roadster lifestyle co men black  olive green tartan checks checked cotton casual shirt</t>
  </si>
  <si>
    <t>https://www.myntra.com/shirts/roadster/the-roadster-lifestyle-co-men-black--olive-green-tartan-checks-checked-cotton-casual-shirt/10944952/buy</t>
  </si>
  <si>
    <t>levis men set of 3 shoeliners</t>
  </si>
  <si>
    <t>Levis</t>
  </si>
  <si>
    <t>https://www.myntra.com/socks/levis/levis-men-set-of-3-shoeliners/2075643/buy</t>
  </si>
  <si>
    <t>jaipur kurti women navy blue  pink quirky print straight kurta</t>
  </si>
  <si>
    <t>Jaipur Kurti</t>
  </si>
  <si>
    <t>https://www.myntra.com/kurtas/jaipur-kurti/jaipur-kurti-women-navy-blue--pink-quirky-print-straight-kurta/11053868/buy</t>
  </si>
  <si>
    <t>go colors women gold toned solid skinny fit shimmer ankle length leggings</t>
  </si>
  <si>
    <t>Go Colors</t>
  </si>
  <si>
    <t>https://www.myntra.com/leggings/go-colors/go-colors-women-gold-toned-solid-skinny-fit-shimmer-ankle-length-leggings/4891838/buy</t>
  </si>
  <si>
    <t>sangira women grey printed kurta with palazzo  dupatta</t>
  </si>
  <si>
    <t>https://www.myntra.com/kurta-sets/sangria/sangira-women-grey-printed-kurta-with-palazzo--dupatta/8350295/buy</t>
  </si>
  <si>
    <t>roadster men white  black geometric printed pure cotton sustainable casual shirt</t>
  </si>
  <si>
    <t>https://www.myntra.com/shirts/roadster/roadster-men-white--black-geometric-printed-pure-cotton-sustainable-casual-shirt/11325776/buy</t>
  </si>
  <si>
    <t>highlander men navy blue striped slim fit regular shorts</t>
  </si>
  <si>
    <t>https://www.myntra.com/shorts/highlander/highlander-men-navy-blue-striped-slim-fit-regular-shorts/10341661/buy</t>
  </si>
  <si>
    <t>the roadster lifestyle co men black skinny fit mid rise clean look stretchable jeans</t>
  </si>
  <si>
    <t>https://www.myntra.com/jeans/roadster/the-roadster-lifestyle-co-men-black-skinny-fit-mid-rise-clean-look-stretchable-jeans/8962359/buy</t>
  </si>
  <si>
    <t>highlander men blue  grey slim fit checked regular trousers</t>
  </si>
  <si>
    <t>https://www.myntra.com/trousers/highlander/highlander-men-blue--grey-slim-fit-checked-regular-trousers/10004171/buy</t>
  </si>
  <si>
    <t>41% OFF</t>
  </si>
  <si>
    <t>highlander men grey slim fit solid chinos</t>
  </si>
  <si>
    <t>https://www.myntra.com/trousers/highlander/highlander-men-grey-slim-fit-solid-chinos/3077245/buy</t>
  </si>
  <si>
    <t>anubhutee women black  off white printed kurta with palazzos</t>
  </si>
  <si>
    <t>https://www.myntra.com/kurta-sets/anubhutee/anubhutee-women-black--off-white-printed-kurta-with-palazzos/10941758/buy</t>
  </si>
  <si>
    <t>38, 39, 40, 42, 44</t>
  </si>
  <si>
    <t>invictus white slim fit formal shirt</t>
  </si>
  <si>
    <t>INVICTUS</t>
  </si>
  <si>
    <t>https://www.myntra.com/shirts/invictus/invictus-white-slim-fit-formal-shirt/1271542/buy</t>
  </si>
  <si>
    <t>herenow black high neck bodycon dress</t>
  </si>
  <si>
    <t>https://www.myntra.com/dresses/herenow/herenow-black-high-neck-bodycon-dress/12016078/buy</t>
  </si>
  <si>
    <t>ether men blue solid pique polo t shirt with contrast rib  collar</t>
  </si>
  <si>
    <t>https://www.myntra.com/tshirts/ether/ether-men-blue-solid-pique-polo-t-shirt-with-contrast-rib--collar/1462052/buy</t>
  </si>
  <si>
    <t>the roadster lifestyle co men off white checked knitted patterned pullover</t>
  </si>
  <si>
    <t>https://www.myntra.com/sweaters/roadster/the-roadster-lifestyle-co-men-off-white-checked-knitted-patterned-pullover/15654416/buy</t>
  </si>
  <si>
    <t>mast  harbour men navy blue red  grey colourblocked polo collar t shirt</t>
  </si>
  <si>
    <t>https://www.myntra.com/tshirts/mast--harbour/mast--harbour-men-navy-blue-red--grey-colourblocked-polo-collar-t-shirt/8325363/buy</t>
  </si>
  <si>
    <t>hrx by hrithik roshan men black solid rapid dry running shorts</t>
  </si>
  <si>
    <t>https://www.myntra.com/shorts/hrx-by-hrithik-roshan/hrx-by-hrithik-roshan-men-black-solid-rapid-dry-running-shorts/12212318/buy</t>
  </si>
  <si>
    <t>XXS, XS, S, M, L, XL</t>
  </si>
  <si>
    <t>hm 2 pack vest sustainable pure cotton tops</t>
  </si>
  <si>
    <t>H&amp;M</t>
  </si>
  <si>
    <t>https://www.myntra.com/tops/hm/hm-2-pack-vest-sustainable-pure-cotton-tops/10367061/buy</t>
  </si>
  <si>
    <t>the roadster lifestyle co women olive green  white colourblocked round neck pure cotton t shirt</t>
  </si>
  <si>
    <t>https://www.myntra.com/tshirts/roadster/the-roadster-lifestyle-co-women-olive-green--white-colourblocked-round-neck-pure-cotton-t-shirt/10970304/buy</t>
  </si>
  <si>
    <t>the roadster lifestyle co women mustard yellow solid polo collar pure cotton t shirt</t>
  </si>
  <si>
    <t>https://www.myntra.com/tshirts/roadster/the-roadster-lifestyle-co-women-mustard-yellow-solid-polo-collar-pure-cotton-t-shirt/10969750/buy</t>
  </si>
  <si>
    <t>the roadster lifestyle co women black solid round neck t shirt</t>
  </si>
  <si>
    <t>https://www.myntra.com/tshirts/roadster/the-roadster-lifestyle-co-women-black-solid-round-neck-t-shirt/10778698/buy</t>
  </si>
  <si>
    <t>vishudh women navy blue printed maxi dress</t>
  </si>
  <si>
    <t>https://www.myntra.com/dresses/vishudh/vishudh-women-navy-blue-printed-maxi-dress/8746069/buy</t>
  </si>
  <si>
    <t>https://www.myntra.com/tshirts/roadster/roadster-women-pack-of-2-pure-cotton-typography-print-t-shirts/17384836/buy</t>
  </si>
  <si>
    <t>tissu women beige  red floral printed straight kurti</t>
  </si>
  <si>
    <t>https://www.myntra.com/kurtis/tissu/tissu-women-beige--red-floral-printed-straight-kurti/11759904/buy</t>
  </si>
  <si>
    <t>M, L, XL, XXL, 3XL</t>
  </si>
  <si>
    <t>prakhya women blue panelled kurta with sharara  with dupatta</t>
  </si>
  <si>
    <t>Prakhya</t>
  </si>
  <si>
    <t>https://www.myntra.com/kurta-sets/prakhya/prakhya-women-blue-panelled-kurta-with-sharara--with-dupatta/14514378/buy</t>
  </si>
  <si>
    <t>stylum women blue printed layered pure cotton kurta with trousers  with dupatta</t>
  </si>
  <si>
    <t>Stylum</t>
  </si>
  <si>
    <t>https://www.myntra.com/kurta-sets/stylum/stylum-women-blue-printed-layered-pure-cotton-kurta-with-trousers--with-dupatta/14440572/buy</t>
  </si>
  <si>
    <t>vishudh women red  black printed a line kurta</t>
  </si>
  <si>
    <t>https://www.myntra.com/kurtas/vishudh/vishudh-women-red--black-printed-a-line-kurta/1959689/buy</t>
  </si>
  <si>
    <t>wrogn men green slim fit solid casual shirt</t>
  </si>
  <si>
    <t>https://www.myntra.com/shirts/wrogn/wrogn-men-green-slim-fit-solid-casual-shirt/11361672/buy</t>
  </si>
  <si>
    <t>wrogn men black slim fit solid chinos</t>
  </si>
  <si>
    <t>https://www.myntra.com/trousers/wrogn/wrogn-men-black-slim-fit-solid-chinos/11560484/buy</t>
  </si>
  <si>
    <t>c9 airwear women pack of 3 solid hipster briefs p1119</t>
  </si>
  <si>
    <t>C9 AIRWEAR</t>
  </si>
  <si>
    <t>https://www.myntra.com/briefs/c9-airwear/c9-airwear-women-pack-of-3-solid-hipster-briefs-p1119/8735259/buy</t>
  </si>
  <si>
    <t>XXL, XL, M, S, L</t>
  </si>
  <si>
    <t>smarty pants women grey  maroon pack of 2 fall winter printed night suit</t>
  </si>
  <si>
    <t>Smarty Pants</t>
  </si>
  <si>
    <t>https://www.myntra.com/night-suits/smarty-pants/smarty-pants-women-grey--maroon-pack-of-2-fall-winter-printed-night-suit/17801492/buy</t>
  </si>
  <si>
    <t>XXL, 3XL, 4XL, 5XL</t>
  </si>
  <si>
    <t>uf navy blue  pink floral printed maxi dress</t>
  </si>
  <si>
    <t>U&amp;F</t>
  </si>
  <si>
    <t>https://www.myntra.com/dresses/uf/uf-navy-blue--pink-floral-printed-maxi-dress/11100708/buy</t>
  </si>
  <si>
    <t>wrogn men green printed t shirt</t>
  </si>
  <si>
    <t>https://www.myntra.com/tshirts/wrogn/wrogn-men-green-printed-t-shirt/8426499/buy</t>
  </si>
  <si>
    <t>wrogn men black  red printed round neck pure cotton t shirt</t>
  </si>
  <si>
    <t>https://www.myntra.com/tshirts/wrogn/wrogn-men-black--red-printed-round-neck-pure-cotton-t-shirt/11363358/buy</t>
  </si>
  <si>
    <t>highlander men olive green slim fit joggers</t>
  </si>
  <si>
    <t>https://www.myntra.com/trousers/highlander/highlander-men-olive-green-slim-fit-joggers/2343637/buy</t>
  </si>
  <si>
    <t>the roadster lifestyle co women mustard yellow solid round neck pure cotton t shirt</t>
  </si>
  <si>
    <t>https://www.myntra.com/tshirts/roadster/the-roadster-lifestyle-co-women-mustard-yellow-solid-round-neck-pure-cotton-t-shirt/10778666/buy</t>
  </si>
  <si>
    <t>roadster women black solid hooded sweatshirt</t>
  </si>
  <si>
    <t>https://www.myntra.com/sweatshirts/roadster/roadster-women-black-solid-hooded-sweatshirt/5960830/buy</t>
  </si>
  <si>
    <t>mitera maroon  gold toned silk blend woven design kanjeevaram saree</t>
  </si>
  <si>
    <t>https://www.myntra.com/sarees/mitera/mitera-maroon--gold-toned-silk-blend-woven-design-kanjeevaram-saree/10361183/buy</t>
  </si>
  <si>
    <t>ksut women black solid straight kurta</t>
  </si>
  <si>
    <t>KSUT</t>
  </si>
  <si>
    <t>https://www.myntra.com/kurtas/ksut/ksut-women-black-solid-straight-kurta/10817836/buy</t>
  </si>
  <si>
    <t>Rs. 78 OFF</t>
  </si>
  <si>
    <t xml:space="preserve">xyxx men pack of 3 solid ultra soft antimicrobial micro modal trunks xytrnk3pckn518 </t>
  </si>
  <si>
    <t>XYXX</t>
  </si>
  <si>
    <t>https://www.myntra.com/trunk/xyxx/xyxx-men-pack-of-3-solid-ultra-soft-antimicrobial-micro-modal-trunks-xytrnk3pckn518-/13682898/buy</t>
  </si>
  <si>
    <t>https://www.myntra.com/trousers/roadster/roadster-men-navy-slim-fit-pure-cotton-joggers/2291335/buy</t>
  </si>
  <si>
    <t>ether women black solid v neck t shirt</t>
  </si>
  <si>
    <t>https://www.myntra.com/tshirts/ether/ether-women-black-solid-v-neck-t-shirt/11900390/buy</t>
  </si>
  <si>
    <t>deebaco turquoise blue tropical printed smocked fit  flare dress with shrug</t>
  </si>
  <si>
    <t>DEEBACO</t>
  </si>
  <si>
    <t>https://www.myntra.com/dresses/deebaco/deebaco-turquoise-blue-tropical-printed-smocked-fit--flare-dress-with-shrug/14483862/buy</t>
  </si>
  <si>
    <t>S, XS, XL, L, M</t>
  </si>
  <si>
    <t>roadster women pack of 2 cotton t shirts</t>
  </si>
  <si>
    <t>https://www.myntra.com/tshirts/roadster/roadster-women-pack-of-2-cotton-t-shirts/17381548/buy</t>
  </si>
  <si>
    <t>vishudh women navy printed a line kurta</t>
  </si>
  <si>
    <t>https://www.myntra.com/kurtas/vishudh/vishudh-women-navy-printed-a-line-kurta/2076190/buy</t>
  </si>
  <si>
    <t>roadster men maroon slim fit sustainable casual shirt</t>
  </si>
  <si>
    <t>https://www.myntra.com/shirts/roadster/roadster-men-maroon-slim-fit-sustainable-casual-shirt/2184630/buy</t>
  </si>
  <si>
    <t>kook n keech men multicoloured striped round neck high low hem pure cotton t shirt</t>
  </si>
  <si>
    <t>https://www.myntra.com/tshirts/kook-n-keech/kook-n-keech-men-multicoloured-striped-round-neck-high-low-hem-pure-cotton-t-shirt/8923763/buy</t>
  </si>
  <si>
    <t>us polo assn men pack of 2 white solid innerwear vests i642 001 p2</t>
  </si>
  <si>
    <t>innerwear-vests</t>
  </si>
  <si>
    <t>https://www.myntra.com/innerwear-vests/us-polo-assn/us-polo-assn-men-pack-of-2-white-solid-innerwear-vests-i642-001-p2/9168683/buy</t>
  </si>
  <si>
    <t>roadster women pack of 2 solid t shirts</t>
  </si>
  <si>
    <t>https://www.myntra.com/tshirts/roadster/roadster-women-pack-of-2-solid-t-shirts/17381412/buy</t>
  </si>
  <si>
    <t>hrx active by hrithik roshan black solid tights</t>
  </si>
  <si>
    <t>https://www.myntra.com/tights/hrx-by-hrithik-roshan/hrx-active-by-hrithik-roshan-black-solid-tights/1864296/buy</t>
  </si>
  <si>
    <t>herenow women pink printed pure cotton top</t>
  </si>
  <si>
    <t>https://www.myntra.com/tops/herenow/herenow-women-pink-printed-pure-cotton-top/2483497/buy</t>
  </si>
  <si>
    <t>us polo assn men pack of 2 assorted briefs 10248015</t>
  </si>
  <si>
    <t>https://www.myntra.com/briefs/us-polo-assn/us-polo-assn-men-pack-of-2-assorted-briefs-10248015/10248015/buy</t>
  </si>
  <si>
    <t>herenow men navy solid straight fit joggers</t>
  </si>
  <si>
    <t>https://www.myntra.com/track-pants/herenow/herenow-men-navy-solid-straight-fit-joggers/5395406/buy</t>
  </si>
  <si>
    <t>ether women blue  white striped round neck pure cotton t shirt</t>
  </si>
  <si>
    <t>https://www.myntra.com/tshirts/ether/ether-women-blue--white-striped-round-neck-pure-cotton-t-shirt/11900346/buy</t>
  </si>
  <si>
    <t>roadster women blue flared fit high rise clean look stretchable jeans</t>
  </si>
  <si>
    <t>https://www.myntra.com/jeans/roadster/roadster-women-blue-flared-fit-high-rise-clean-look-stretchable-jeans/12278684/buy</t>
  </si>
  <si>
    <t>sera navy blue  white printed tie up shrug</t>
  </si>
  <si>
    <t>shrug</t>
  </si>
  <si>
    <t>Sera</t>
  </si>
  <si>
    <t>https://www.myntra.com/shrug/sera/sera-navy-blue--white-printed-tie-up-shrug/9657975/buy</t>
  </si>
  <si>
    <t>herenow women black self striped pure cotton straight kurta</t>
  </si>
  <si>
    <t>https://www.myntra.com/kurtas/herenow/herenow-women-black-self-striped-pure-cotton-straight-kurta/13404396/buy</t>
  </si>
  <si>
    <t>pluss green floral a line dress</t>
  </si>
  <si>
    <t>https://www.myntra.com/dresses/pluss/pluss-green-floral-a-line-dress/14059226/buy</t>
  </si>
  <si>
    <t>uf women pink  blue printed maxi dress</t>
  </si>
  <si>
    <t>https://www.myntra.com/dresses/uf/uf-women-pink--blue-printed-maxi-dress/11538028/buy</t>
  </si>
  <si>
    <t>roadster men navy blue checked pure cotton sustainable casual shirt</t>
  </si>
  <si>
    <t>https://www.myntra.com/shirts/roadster/roadster-men-navy-blue-checked-pure-cotton-sustainable-casual-shirt/11327214/buy</t>
  </si>
  <si>
    <t>47% OFF</t>
  </si>
  <si>
    <t>rare blue printed off shoulder blouson top</t>
  </si>
  <si>
    <t>RARE</t>
  </si>
  <si>
    <t>https://www.myntra.com/tops/rare/rare-blue-printed-off-shoulder-blouson-top/1109295/buy</t>
  </si>
  <si>
    <t>the roadster lifestyle co women black printed reversible sweatshirt</t>
  </si>
  <si>
    <t>https://www.myntra.com/sweatshirts/roadster/the-roadster-lifestyle-co-women-black-printed-reversible-sweatshirt/9478001/buy</t>
  </si>
  <si>
    <t>herenow black geometric sleeveless top</t>
  </si>
  <si>
    <t>https://www.myntra.com/tops/herenow/herenow-black-geometric-sleeveless-top/1973400/buy</t>
  </si>
  <si>
    <t>highlander blue slim fit casual shirt</t>
  </si>
  <si>
    <t>https://www.myntra.com/shirts/highlander/highlander-blue-slim-fit-casual-shirt/1272492/buy</t>
  </si>
  <si>
    <t>kook n keech disney men blue printed round neck oversize t shirt</t>
  </si>
  <si>
    <t>Kook N Keech Disney</t>
  </si>
  <si>
    <t>https://www.myntra.com/tshirts/kook-n-keech-disney/kook-n-keech-disney-men-blue-printed-round-neck-oversize-t-shirt/2095974/buy</t>
  </si>
  <si>
    <t>highlander men white  navy blue slim fit printed casual shirt</t>
  </si>
  <si>
    <t>https://www.myntra.com/shirts/highlander/highlander-men-white--navy-blue-slim-fit-printed-casual-shirt/10004111/buy</t>
  </si>
  <si>
    <t>tokyo talkies women maroon solid slim fit port royale casual track pants</t>
  </si>
  <si>
    <t>https://www.myntra.com/track-pants/tokyo-talkies/tokyo-talkies-women-maroon-solid-slim-fit-port-royale-casual-track-pants/14154078/buy</t>
  </si>
  <si>
    <t>herenow men mustard yellow printed round neck pure cotton t shirt</t>
  </si>
  <si>
    <t>https://www.myntra.com/tshirts/herenow/herenow-men-mustard-yellow-printed-round-neck-pure-cotton-t-shirt/7088221/buy</t>
  </si>
  <si>
    <t>highlander men orange  peach coloured slim fit solid casual shirt</t>
  </si>
  <si>
    <t>https://www.myntra.com/shirts/highlander/highlander-men-orange--peach-coloured-slim-fit-solid-casual-shirt/6012712/buy</t>
  </si>
  <si>
    <t>harvard men navy blue slim fit mid rise clean look stretchable jeans</t>
  </si>
  <si>
    <t>https://www.myntra.com/jeans/harvard/harvard-men-navy-blue-slim-fit-mid-rise-clean-look-stretchable-jeans/10415106/buy</t>
  </si>
  <si>
    <t>mast  harbour women black solid top</t>
  </si>
  <si>
    <t>https://www.myntra.com/tops/mast--harbour/mast--harbour-women-black-solid-top/2490953/buy</t>
  </si>
  <si>
    <t>ether women coral  white striped round neck extended sleeve chest pocket t shirt</t>
  </si>
  <si>
    <t>https://www.myntra.com/tshirts/ether/ether-women-coral--white-striped-round-neck-extended-sleeve-chest-pocket-t-shirt/1763177/buy</t>
  </si>
  <si>
    <t>sassafras grey floral printed high slit maxi dress</t>
  </si>
  <si>
    <t>https://www.myntra.com/dresses/sassafras/sassafras-grey-floral-printed-high-slit-maxi-dress/8643095/buy</t>
  </si>
  <si>
    <t>tokyo talkies women navy blue  white straight fit striped peg trousers</t>
  </si>
  <si>
    <t>https://www.myntra.com/trousers/tokyo-talkies/tokyo-talkies-women-navy-blue--white-straight-fit-striped-peg-trousers/12009590/buy</t>
  </si>
  <si>
    <t>anouk women navy blue printed straight kurta</t>
  </si>
  <si>
    <t>https://www.myntra.com/kurtas/anouk/anouk-women-navy-blue-printed-straight-kurta/12135220/buy</t>
  </si>
  <si>
    <t>ether men navy striped t shirt</t>
  </si>
  <si>
    <t>https://www.myntra.com/tshirts/ether/ether-men-navy-striped-t-shirt/1460195/buy</t>
  </si>
  <si>
    <t>levis men charcoal grey solid  trunks bb 100ca 1pk style 010 46</t>
  </si>
  <si>
    <t>https://www.myntra.com/trunk/levis/levis-men-charcoal-grey-solid--trunks-bb-100ca-1pk-style-010-46/9261285/buy</t>
  </si>
  <si>
    <t>roadster women black  white printed round neck t shirt</t>
  </si>
  <si>
    <t>https://www.myntra.com/tshirts/roadster/roadster-women-black--white-printed-round-neck-t-shirt/11401800/buy</t>
  </si>
  <si>
    <t>roadster women lavender solid round neck pure cotton t shirt with printed detailing</t>
  </si>
  <si>
    <t>https://www.myntra.com/tshirts/roadster/roadster-women-lavender-solid-round-neck-pure-cotton-t-shirt-with-printed-detailing/10968524/buy</t>
  </si>
  <si>
    <t>mast  harbour women mustard yellow printed round neck t shirt</t>
  </si>
  <si>
    <t>https://www.myntra.com/tshirts/mast--harbour/mast--harbour-women-mustard-yellow-printed-round-neck-t-shirt/2224781/buy</t>
  </si>
  <si>
    <t>roadster women lavender solid padded jacket</t>
  </si>
  <si>
    <t>https://www.myntra.com/jackets/roadster/roadster-women-lavender-solid-padded-jacket/12698610/buy</t>
  </si>
  <si>
    <t>sassafras women blue  pink floral printed crop regular top</t>
  </si>
  <si>
    <t>https://www.myntra.com/tops/sassafras/sassafras-women-blue--pink-floral-printed-crop-regular-top/11364332/buy</t>
  </si>
  <si>
    <t>30B, 32B, 32C, 34B, 34C, 36B, 36C, 38B, 38C</t>
  </si>
  <si>
    <t>jockey pink medium coverage seamless shaper bra 1722</t>
  </si>
  <si>
    <t>https://www.myntra.com/bra/jockey/jockey-pink-medium-coverage-seamless-shaper-bra-1722/1376778/buy</t>
  </si>
  <si>
    <t>gosriki off white silk blend solid khadi saree</t>
  </si>
  <si>
    <t>GoSriKi</t>
  </si>
  <si>
    <t>https://www.myntra.com/sarees/gosriki/gosriki-off-white-silk-blend-solid-khadi-saree/10853008/buy</t>
  </si>
  <si>
    <t>wrogn men brown printed round neck t shirt</t>
  </si>
  <si>
    <t>https://www.myntra.com/tshirts/wrogn/wrogn-men-brown-printed-round-neck-t-shirt/6833275/buy</t>
  </si>
  <si>
    <t>jockey men black  white printed briefs ny01 0105 nyc01</t>
  </si>
  <si>
    <t>https://www.myntra.com/briefs/jockey/jockey-men-black--white-printed-briefs-ny01-0105-nyc01/10906444/buy</t>
  </si>
  <si>
    <t>mast  harbour women blue solid round neck t shirt</t>
  </si>
  <si>
    <t>https://www.myntra.com/tshirts/mast--harbour/mast--harbour-women-blue-solid-round-neck-t-shirt/11700056/buy</t>
  </si>
  <si>
    <t>20% OFF</t>
  </si>
  <si>
    <t>la zoire green sheer knotted top</t>
  </si>
  <si>
    <t>La Zoire</t>
  </si>
  <si>
    <t>https://www.myntra.com/tops/la-zoire/la-zoire-green-sheer-knotted-top/807931/buy</t>
  </si>
  <si>
    <t>her by invictus olive green smart casual top</t>
  </si>
  <si>
    <t>https://www.myntra.com/tops/her-by-invictus/her-by-invictus-olive-green-smart-casual-top/9240703/buy</t>
  </si>
  <si>
    <t>enamor women pack of 3 assorted mid waist hipster cotton briefs cr02</t>
  </si>
  <si>
    <t>Enamor</t>
  </si>
  <si>
    <t>https://www.myntra.com/briefs/enamor/enamor-women-pack-of-3-assorted-mid-waist-hipster-cotton-briefs-cr02/2295683/buy</t>
  </si>
  <si>
    <t>sangria women pink printed tiered anarkali kurta</t>
  </si>
  <si>
    <t>https://www.myntra.com/kurtas/sangria/sangria-women-pink-printed-tiered-anarkali-kurta/8350119/buy</t>
  </si>
  <si>
    <t>anouk women black  white printed straight kurta</t>
  </si>
  <si>
    <t>https://www.myntra.com/kurtas/anouk/anouk-women-black--white-printed-straight-kurta/10960718/buy</t>
  </si>
  <si>
    <t>dressberry women stylish black solid cut out basic top</t>
  </si>
  <si>
    <t>https://www.myntra.com/tops/dressberry/dressberry-women-stylish-black-solid-cut-out-basic-top/2522867/buy</t>
  </si>
  <si>
    <t>68% OFF</t>
  </si>
  <si>
    <t>prakhya women pink embroidered kurta with trousers  dupatta</t>
  </si>
  <si>
    <t>https://www.myntra.com/kurta-sets/prakhya/prakhya-women-pink-embroidered-kurta-with-trousers--dupatta/13607464/buy</t>
  </si>
  <si>
    <t>nayo womens maroon  cream coloured printed tunic</t>
  </si>
  <si>
    <t>tunics</t>
  </si>
  <si>
    <t>https://www.myntra.com/tunics/nayo/nayo-womens-maroon--cream-coloured-printed-tunic/14170550/buy</t>
  </si>
  <si>
    <t>highlander men black  white slim fit checked casual shirt</t>
  </si>
  <si>
    <t>https://www.myntra.com/shirts/highlander/highlander-men-black--white-slim-fit-checked-casual-shirt/8469261/buy</t>
  </si>
  <si>
    <t>roadster women navy blue  maroon pack of 2 printed round neck regular fit t shirts</t>
  </si>
  <si>
    <t>https://www.myntra.com/tshirts/roadster/roadster-women-navy-blue--maroon-pack-of-2-printed-round-neck-regular-fit-t-shirts/17382882/buy</t>
  </si>
  <si>
    <t>https://www.myntra.com/tshirts/mast--harbour/mast--harbour-women-pack-of-2-cotton-t-shirts/17524572/buy</t>
  </si>
  <si>
    <t>jaipur kurti navy blue  off white cotton striped a line dress</t>
  </si>
  <si>
    <t>https://www.myntra.com/dresses/jaipur-kurti/jaipur-kurti-navy-blue--off-white-cotton-striped-a-line-dress/4704797/buy</t>
  </si>
  <si>
    <t>herenow women white  navy lightweight striped shirt style pure cotton top</t>
  </si>
  <si>
    <t>https://www.myntra.com/tops/herenow/herenow-women-white--navy-lightweight-striped-shirt-style-pure-cotton-top/2077135/buy</t>
  </si>
  <si>
    <t>moda rapido men white  black striped round neck t shirt</t>
  </si>
  <si>
    <t>https://www.myntra.com/tshirts/moda-rapido/moda-rapido-men-white--black-striped-round-neck-t-shirt/2221364/buy</t>
  </si>
  <si>
    <t>mast  harbour men beige  grey slim fit checked sustainable casual shirt</t>
  </si>
  <si>
    <t>https://www.myntra.com/shirts/mast--harbour/mast--harbour-men-beige--grey-slim-fit-checked-sustainable-casual-shirt/2077208/buy</t>
  </si>
  <si>
    <t>house of pataudi men green woven design straight kurta</t>
  </si>
  <si>
    <t>House of Pataudi</t>
  </si>
  <si>
    <t>https://www.myntra.com/kurtas/house-of-pataudi/house-of-pataudi-men-green-woven-design-straight-kurta/7441137/buy</t>
  </si>
  <si>
    <t>30, 32, 34, 37, 41</t>
  </si>
  <si>
    <t>28% OFF</t>
  </si>
  <si>
    <t>artengo by decathlon men white solid regular fit shorts</t>
  </si>
  <si>
    <t>Artengo By Decathlon</t>
  </si>
  <si>
    <t>https://www.myntra.com/shorts/artengo-by-decathlon/artengo-by-decathlon-men-white-solid-regular-fit-shorts/12991924/buy</t>
  </si>
  <si>
    <t>https://www.myntra.com/jeans/high-star/high-star-women-black-slim-fit-high-rise-clean-look-stretchable-jeans/10343531/buy</t>
  </si>
  <si>
    <t>roadster women white self striped casual shirt</t>
  </si>
  <si>
    <t>https://www.myntra.com/shirts/roadster/roadster-women-white-self-striped-casual-shirt/9656259/buy</t>
  </si>
  <si>
    <t>her by invictus women maroon  white printed casual shirt</t>
  </si>
  <si>
    <t>https://www.myntra.com/shirts/her-by-invictus/her-by-invictus-women-maroon--white-printed-casual-shirt/9410705/buy</t>
  </si>
  <si>
    <t>https://www.myntra.com/tshirts/roadster/roadster-women-pack-of-2-solid-t-shirts/17381404/buy</t>
  </si>
  <si>
    <t>mast  harbour men olive green  regular fit solid  casual linen sustainable shirt</t>
  </si>
  <si>
    <t>https://www.myntra.com/shirts/mast--harbour/mast--harbour-men-olive-green--regular-fit-solid--casual-linen-sustainable-shirt/2310135/buy</t>
  </si>
  <si>
    <t>athena black sheath dress</t>
  </si>
  <si>
    <t>https://www.myntra.com/dresses/athena/athena-black-sheath-dress/11024458/buy</t>
  </si>
  <si>
    <t xml:space="preserve"> roadster women pack of 2 cotton t shirts</t>
  </si>
  <si>
    <t>https://www.myntra.com/tshirts/roadster/-roadster-women-pack-of-2-cotton-t-shirts/17382822/buy</t>
  </si>
  <si>
    <t>invictus men white  blue slim fit horizontal stripes casual shirt</t>
  </si>
  <si>
    <t>https://www.myntra.com/shirts/invictus/invictus-men-white--blue-slim-fit-horizontal-stripes-casual-shirt/2031938/buy</t>
  </si>
  <si>
    <t>54% OFF</t>
  </si>
  <si>
    <t>tokyo talkies navy blue  white v neck striped top</t>
  </si>
  <si>
    <t>https://www.myntra.com/tops/tokyo-talkies/tokyo-talkies-navy-blue--white-v-neck-striped-top/12111056/buy</t>
  </si>
  <si>
    <t>tokyo talkies women white bootcut mid rise clean look stretchable jeans</t>
  </si>
  <si>
    <t>https://www.myntra.com/jeans/tokyo-talkies/tokyo-talkies-women-white-bootcut-mid-rise-clean-look-stretchable-jeans/11538394/buy</t>
  </si>
  <si>
    <t>kassually women rose  maroon colourblocked blouson dress</t>
  </si>
  <si>
    <t>KASSUALLY</t>
  </si>
  <si>
    <t>https://www.myntra.com/dresses/kassually/kassually-women-rose--maroon-colourblocked-blouson-dress/11535972/buy</t>
  </si>
  <si>
    <t>kassually women mustard yellow solid a line dress</t>
  </si>
  <si>
    <t>https://www.myntra.com/dresses/kassually/kassually-women-mustard-yellow-solid-a-line-dress/11348390/buy</t>
  </si>
  <si>
    <t>jockey men multicoloured printed briefs ny01 0105 nyc06</t>
  </si>
  <si>
    <t>https://www.myntra.com/briefs/jockey/jockey-men-multicoloured-printed-briefs-ny01-0105-nyc06/10906454/buy</t>
  </si>
  <si>
    <t>highlander men beige casual trousers</t>
  </si>
  <si>
    <t>https://www.myntra.com/trousers/highlander/highlander-men-beige-casual-trousers/1380188/buy</t>
  </si>
  <si>
    <t>mitera navy blue  gold coloured silk blend woven design banarasi saree</t>
  </si>
  <si>
    <t>https://www.myntra.com/sarees/mitera/mitera-navy-blue--gold-coloured-silk-blend-woven-design-banarasi-saree/11749988/buy</t>
  </si>
  <si>
    <t>shae by sassafras women white  navy blue printed a line dress</t>
  </si>
  <si>
    <t>Shae by SASSAFRAS</t>
  </si>
  <si>
    <t>https://www.myntra.com/dresses/shae-by-sassafras/shae-by-sassafras-women-white--navy-blue-printed-a-line-dress/11349910/buy</t>
  </si>
  <si>
    <t>mast  harbour men olive green solid round neck t shirt</t>
  </si>
  <si>
    <t>https://www.myntra.com/tshirts/mast--harbour/mast--harbour-men-olive-green-solid-round-neck-t-shirt/3082390/buy</t>
  </si>
  <si>
    <t>wrogn men blue slim fit mid rise clean look jogger jeans</t>
  </si>
  <si>
    <t>https://www.myntra.com/jeans/wrogn/wrogn-men-blue-slim-fit-mid-rise-clean-look-jogger-jeans/1758525/buy</t>
  </si>
  <si>
    <t>roadster women burgundy solid round neck t shirt</t>
  </si>
  <si>
    <t>https://www.myntra.com/tshirts/roadster/roadster-women-burgundy-solid-round-neck-t-shirt/10778702/buy</t>
  </si>
  <si>
    <t xml:space="preserve">enamor skin non wired non padded full coverage everyday tshirt bra a027 </t>
  </si>
  <si>
    <t>https://www.myntra.com/bra/enamor/enamor-skin-non-wired-non-padded-full-coverage-everyday-tshirt-bra-a027-/11818402/buy</t>
  </si>
  <si>
    <t>campus sutra men green solid hooded sweatshirt</t>
  </si>
  <si>
    <t>https://www.myntra.com/sweatshirts/campus-sutra/campus-sutra-men-green-solid-hooded-sweatshirt/12748752/buy</t>
  </si>
  <si>
    <t>roadster men burgundy regular fit solid casual sustainable shirt</t>
  </si>
  <si>
    <t>https://www.myntra.com/shirts/roadster/roadster-men-burgundy-regular-fit-solid-casual-sustainable-shirt/6791220/buy</t>
  </si>
  <si>
    <t>louis philippe sport men white solid polo collar t shirt</t>
  </si>
  <si>
    <t>https://www.myntra.com/tshirts/louis-philippe-sport/louis-philippe-sport-men-white-solid-polo-collar-t-shirt/14304560/buy</t>
  </si>
  <si>
    <t>highlander men olive green slim fit printed casual shirt</t>
  </si>
  <si>
    <t>https://www.myntra.com/shirts/highlander/highlander-men-olive-green-slim-fit-printed-casual-shirt/10863420/buy</t>
  </si>
  <si>
    <t>hrx by hrithik roshan men navy  mustard yellow colourblocked sweatshirt</t>
  </si>
  <si>
    <t>https://www.myntra.com/sweatshirts/hrx-by-hrithik-roshan/hrx-by-hrithik-roshan-men-navy--mustard-yellow-colourblocked-sweatshirt/9445631/buy</t>
  </si>
  <si>
    <t>libas women white cigarette trousers</t>
  </si>
  <si>
    <t>Libas</t>
  </si>
  <si>
    <t>https://www.myntra.com/trousers/libas/libas-women-white-cigarette-trousers/13234824/buy</t>
  </si>
  <si>
    <t>roadster women green  maroon pack of 2 printed round neck pure cotton t shirts</t>
  </si>
  <si>
    <t>https://www.myntra.com/tshirts/roadster/roadster-women-green--maroon-pack-of-2-printed-round-neck-pure-cotton-t-shirts/17383350/buy</t>
  </si>
  <si>
    <t>https://www.myntra.com/tshirts/roadster/roadster-women-pack-of-2-solid-t-shirts/17381986/buy</t>
  </si>
  <si>
    <t>roadster women navy blue  black pack of 2 printed round neck regular fit t shirts</t>
  </si>
  <si>
    <t>https://www.myntra.com/tshirts/roadster/roadster-women-navy-blue--black-pack-of-2-printed-round-neck-regular-fit-t-shirts/17383122/buy</t>
  </si>
  <si>
    <t>roadster men navy blue solid denim jacket</t>
  </si>
  <si>
    <t>https://www.myntra.com/jackets/roadster/roadster-men-navy-blue-solid-denim-jacket/10617856/buy</t>
  </si>
  <si>
    <t>wrogn men charcoal grey  black colourblocked slim fit hood pure cotton t shirt</t>
  </si>
  <si>
    <t>https://www.myntra.com/tshirts/wrogn/wrogn-men-charcoal-grey--black-colourblocked-slim-fit-hood-pure-cotton-t-shirt/10410606/buy</t>
  </si>
  <si>
    <t>wrogn men burgundy solid polo collar t shirt</t>
  </si>
  <si>
    <t>https://www.myntra.com/tshirts/wrogn/wrogn-men-burgundy-solid-polo-collar-t-shirt/11363908/buy</t>
  </si>
  <si>
    <t>jockey international collection men black solid trunks ic28</t>
  </si>
  <si>
    <t>https://www.myntra.com/trunk/jockey/jockey-international-collection-men-black-solid-trunks-ic28/11036254/buy</t>
  </si>
  <si>
    <t>rigo women black solid top</t>
  </si>
  <si>
    <t>Rigo</t>
  </si>
  <si>
    <t>https://www.myntra.com/tops/rigo/rigo-women-black-solid-top/6911333/buy</t>
  </si>
  <si>
    <t>tokyo talkies women blue super skinny fit mid rise clean look stretchable jeans</t>
  </si>
  <si>
    <t>https://www.myntra.com/jeans/tokyo-talkies/tokyo-talkies-women-blue-super-skinny-fit-mid-rise-clean-look-stretchable-jeans/8195013/buy</t>
  </si>
  <si>
    <t>herenow women peach coloured  white bandhani print straight kurta</t>
  </si>
  <si>
    <t>https://www.myntra.com/kurtas/herenow/herenow-women-peach-coloured--white-bandhani-print-straight-kurta/12530338/buy</t>
  </si>
  <si>
    <t>aasi women red  black printed kurta with skirt</t>
  </si>
  <si>
    <t>aasi</t>
  </si>
  <si>
    <t>https://www.myntra.com/kurta-sets/aasi/aasi-women-red--black-printed-kurta-with-skirt/8090747/buy</t>
  </si>
  <si>
    <t>campus sutra men blue solid round neck pure cotton t shirt</t>
  </si>
  <si>
    <t>https://www.myntra.com/tshirts/campus-sutra/campus-sutra-men-blue-solid-round-neck-pure-cotton-t-shirt/10017021/buy</t>
  </si>
  <si>
    <t>black coffee men charcoal grey formal trousers</t>
  </si>
  <si>
    <t>Black coffee</t>
  </si>
  <si>
    <t>https://www.myntra.com/trousers/black-coffee/black-coffee-men-charcoal-grey-formal-trousers/1778109/buy</t>
  </si>
  <si>
    <t>hrx by hrithik roshan active men teal green solid rapid dry track pants</t>
  </si>
  <si>
    <t>https://www.myntra.com/track-pants/hrx-by-hrithik-roshan/hrx-by-hrithik-roshan-active-men-teal-green-solid-rapid-dry-track-pants/8000719/buy</t>
  </si>
  <si>
    <t>hrx by hrithik roshan men grey melange solid rapid dry training joggers</t>
  </si>
  <si>
    <t>https://www.myntra.com/track-pants/hrx-by-hrithik-roshan/hrx-by-hrithik-roshan-men-grey-melange-solid-rapid-dry-training-joggers/7695798/buy</t>
  </si>
  <si>
    <t>Rs. 200 OFF</t>
  </si>
  <si>
    <t>roadster women pink  blue printed round neck pure cotton t shirt</t>
  </si>
  <si>
    <t>https://www.myntra.com/tshirts/roadster/roadster-women-pink--blue-printed-round-neck-pure-cotton-t-shirt/9740079/buy</t>
  </si>
  <si>
    <t>dressberry women pack of 2 solid super skinny fit ankle length denim jeggings</t>
  </si>
  <si>
    <t>https://www.myntra.com/jeggings/dressberry/dressberry-women-pack-of-2-solid-super-skinny-fit-ankle-length-denim-jeggings/9657187/buy</t>
  </si>
  <si>
    <t>miss chase maroon shirt dress</t>
  </si>
  <si>
    <t>https://www.myntra.com/dresses/miss-chase/miss-chase-maroon-shirt-dress/10166985/buy</t>
  </si>
  <si>
    <t>28B, 30B, 32B, 34B, 36B, 38B, 40B</t>
  </si>
  <si>
    <t>79% OFF</t>
  </si>
  <si>
    <t>abelino pack of 3 solid non wired lightly padded t shirt bra comyashiblkredgreen</t>
  </si>
  <si>
    <t>ABELINO</t>
  </si>
  <si>
    <t>https://www.myntra.com/bra/abelino/abelino-pack-of-3-solid-non-wired-lightly-padded-t-shirt-bra-comyashiblkredgreen/12382656/buy</t>
  </si>
  <si>
    <t>vimal men pack of 2 grey solid cotton lounge pants</t>
  </si>
  <si>
    <t>https://www.myntra.com/lounge-pants/vimal/vimal-men-pack-of-2-grey-solid-cotton-lounge-pants/13676458/buy</t>
  </si>
  <si>
    <t>roadster men grey slim fit solid joggers</t>
  </si>
  <si>
    <t>https://www.myntra.com/trousers/roadster/roadster-men-grey-slim-fit-solid-joggers/3081630/buy</t>
  </si>
  <si>
    <t>athena lavender bell sleeves smocking crop georgette top</t>
  </si>
  <si>
    <t>https://www.myntra.com/tops/athena/athena-lavender-bell-sleeves-smocking-crop-georgette-top/13709580/buy</t>
  </si>
  <si>
    <t>tikhi imli trendy mauve sleek poly crepe saree with embellished border  cape</t>
  </si>
  <si>
    <t>Tikhi Imli</t>
  </si>
  <si>
    <t>https://www.myntra.com/sarees/tikhi-imli/tikhi-imli-trendy-mauve-sleek-poly-crepe-saree-with-embellished-border--cape/13919148/buy</t>
  </si>
  <si>
    <t>ether men navy blue anti microbial poplin cotton shirt</t>
  </si>
  <si>
    <t>https://www.myntra.com/shirts/ether/ether-men-navy-blue-anti-microbial-poplin-cotton-shirt/11746280/buy</t>
  </si>
  <si>
    <t>the roadster lifestyle co men navy blue and beige pure cotton tartan checked casual shirt</t>
  </si>
  <si>
    <t>https://www.myntra.com/shirts/roadster/the-roadster-lifestyle-co-men-navy-blue-and-beige-pure-cotton-tartan-checked-casual-shirt/10398025/buy</t>
  </si>
  <si>
    <t>scorpius women pack of 2 crop tops</t>
  </si>
  <si>
    <t>https://www.myntra.com/tops/scorpius/scorpius-women-pack-of-2-crop-tops/9341399/buy</t>
  </si>
  <si>
    <t>ishin women teal blue embroidered kurta with sharara  dupatta</t>
  </si>
  <si>
    <t>https://www.myntra.com/kurta-sets/ishin/ishin-women-teal-blue-embroidered-kurta-with-sharara--dupatta/13817718/buy</t>
  </si>
  <si>
    <t>campus sutra men blue  grey regular fit colourblocked casual shirt</t>
  </si>
  <si>
    <t>https://www.myntra.com/shirts/campus-sutra/campus-sutra-men-blue--grey-regular-fit-colourblocked-casual-shirt/2012863/buy</t>
  </si>
  <si>
    <t>49% OFF</t>
  </si>
  <si>
    <t>tokyo talkies women black relaxed fit mid rise clean look jeans</t>
  </si>
  <si>
    <t>https://www.myntra.com/jeans/tokyo-talkies/tokyo-talkies-women-black-relaxed-fit-mid-rise-clean-look-jeans/10710942/buy</t>
  </si>
  <si>
    <t>sassafras women green solid open front longline shrug</t>
  </si>
  <si>
    <t>https://www.myntra.com/shrug/sassafras/sassafras-women-green-solid-open-front-longline-shrug/12738028/buy</t>
  </si>
  <si>
    <t>roadster women blue skinny fit mid rise clean look stretchable cropped jeans</t>
  </si>
  <si>
    <t>https://www.myntra.com/jeans/roadster/roadster-women-blue-skinny-fit-mid-rise-clean-look-stretchable-cropped-jeans/9205377/buy</t>
  </si>
  <si>
    <t>dressberry women white sheer polyester casual top</t>
  </si>
  <si>
    <t>https://www.myntra.com/tops/dressberry/dressberry-women-white-sheer-polyester-casual-top/1244305/buy</t>
  </si>
  <si>
    <t>herenow women maroon printed maxi dress</t>
  </si>
  <si>
    <t>https://www.myntra.com/dresses/herenow/herenow-women-maroon-printed-maxi-dress/2499823/buy</t>
  </si>
  <si>
    <t>32B, 32C, 34B, 34C, 36B, 36C, 38B, 38C, 40B</t>
  </si>
  <si>
    <t>clovia maroon cotton non padded non wired bra with u back</t>
  </si>
  <si>
    <t>Clovia</t>
  </si>
  <si>
    <t>https://www.myntra.com/bra/clovia/clovia-maroon-cotton-non-padded-non-wired-bra-with-u-back/1413902/buy</t>
  </si>
  <si>
    <t>71% OFF</t>
  </si>
  <si>
    <t>kalini maroon  gold ethnic motifs zari silk blend banarasi saree</t>
  </si>
  <si>
    <t>https://www.myntra.com/sarees/kalini/kalini-maroon--gold-ethnic-motifs-zari-silk-blend-banarasi-saree/16697006/buy</t>
  </si>
  <si>
    <t>tissu women blue printed anarkali kurta</t>
  </si>
  <si>
    <t>https://www.myntra.com/kurtas/tissu/tissu-women-blue-printed-anarkali-kurta/9301353/buy</t>
  </si>
  <si>
    <t>wrogn men olive green solid slim fit biker jacket</t>
  </si>
  <si>
    <t>https://www.myntra.com/jackets/wrogn/wrogn-men-olive-green-solid-slim-fit-biker-jacket/10187221/buy</t>
  </si>
  <si>
    <t>wrogn men rust orange  navy blue slim fit checked casual shirt</t>
  </si>
  <si>
    <t>https://www.myntra.com/shirts/wrogn/wrogn-men-rust-orange--navy-blue-slim-fit-checked-casual-shirt/10187629/buy</t>
  </si>
  <si>
    <t>roadster women pack of 2 colourblocked t shirts</t>
  </si>
  <si>
    <t>https://www.myntra.com/tshirts/roadster/roadster-women-pack-of-2-colourblocked-t-shirts/17384184/buy</t>
  </si>
  <si>
    <t>indian virasat maroon  beige ethnic motifs printed maxi ethnic dress</t>
  </si>
  <si>
    <t>Indian Virasat</t>
  </si>
  <si>
    <t>https://www.myntra.com/dresses/indian-virasat/indian-virasat-maroon--beige-ethnic-motifs-printed-maxi-ethnic-dress/10679270/buy</t>
  </si>
  <si>
    <t>tokyo talkies women mint green solid track pants</t>
  </si>
  <si>
    <t>https://www.myntra.com/track-pants/tokyo-talkies/tokyo-talkies-women-mint-green-solid-track-pants/14170722/buy</t>
  </si>
  <si>
    <t>https://www.myntra.com/leggings/go-colors/go-colors-women-gold-toned-solid-skinny-fit-shimmer-ankle-length-leggings/4891826/buy</t>
  </si>
  <si>
    <t>ishin women green  off white yoke design kurta with block print palazzos</t>
  </si>
  <si>
    <t>https://www.myntra.com/kurta-sets/ishin/ishin-women-green--off-white-yoke-design-kurta-with-block-print-palazzos/11250784/buy</t>
  </si>
  <si>
    <t>anouk women olive green antiviral finish geometric print pure cotton straight kurta</t>
  </si>
  <si>
    <t>https://www.myntra.com/kurtas/anouk/anouk-women-olive-green-antiviral-finish-geometric-print-pure-cotton-straight-kurta/12135064/buy</t>
  </si>
  <si>
    <t>herenow men white striped cotton pure cotton t shirt</t>
  </si>
  <si>
    <t>https://www.myntra.com/tshirts/herenow/herenow-men-white-striped-cotton-pure-cotton-t-shirt/4318093/buy</t>
  </si>
  <si>
    <t>wrogn men rust orange  black striped slim fit round neck pure cotton t shirt</t>
  </si>
  <si>
    <t>https://www.myntra.com/tshirts/wrogn/wrogn-men-rust-orange--black-striped-slim-fit-round-neck-pure-cotton-t-shirt/11363752/buy</t>
  </si>
  <si>
    <t>hrx by hrithik roshan women orange solid round neck t shirt</t>
  </si>
  <si>
    <t>https://www.myntra.com/tshirts/hrx-by-hrithik-roshan/hrx-by-hrithik-roshan-women-orange-solid-round-neck-t-shirt/8328571/buy</t>
  </si>
  <si>
    <t>her by invictus beige  black colourblocked sheath dress</t>
  </si>
  <si>
    <t>https://www.myntra.com/dresses/her-by-invictus/her-by-invictus-beige--black-colourblocked-sheath-dress/8207829/buy</t>
  </si>
  <si>
    <t>tokyo talkies women blue solid pure cotton denim jacket</t>
  </si>
  <si>
    <t>https://www.myntra.com/jackets/tokyo-talkies/tokyo-talkies-women-blue-solid-pure-cotton-denim-jacket/10437832/buy</t>
  </si>
  <si>
    <t>tokyo talkies women black solid sheath dress</t>
  </si>
  <si>
    <t>https://www.myntra.com/dresses/tokyo-talkies/tokyo-talkies-women-black-solid-sheath-dress/13194602/buy</t>
  </si>
  <si>
    <t>roadster women olive green solid hooded sweatshirt</t>
  </si>
  <si>
    <t>https://www.myntra.com/sweatshirts/roadster/roadster-women-olive-green-solid-hooded-sweatshirt/11991112/buy</t>
  </si>
  <si>
    <t>https://www.myntra.com/tshirts/roadster/roadster-women-pack-of-2-solid-t-shirts/17381392/buy</t>
  </si>
  <si>
    <t>mast  harbour women dusty pink solid track pants</t>
  </si>
  <si>
    <t>https://www.myntra.com/track-pants/mast--harbour/mast--harbour-women-dusty-pink-solid-track-pants/12332478/buy</t>
  </si>
  <si>
    <t>herenow women blue  golden ethnic printed straight kurta</t>
  </si>
  <si>
    <t>https://www.myntra.com/kurtas/herenow/herenow-women-blue--golden-ethnic-printed-straight-kurta/12524816/buy</t>
  </si>
  <si>
    <t>deyann men blue  cream coloured self design kurta with pyjamas</t>
  </si>
  <si>
    <t>DEYANN</t>
  </si>
  <si>
    <t>https://www.myntra.com/kurta-sets/deyann/deyann-men-blue--cream-coloured-self-design-kurta-with-pyjamas/6518651/buy</t>
  </si>
  <si>
    <t>campus sutra men blue jogger fit mid rise clean look stretchable jeans</t>
  </si>
  <si>
    <t>https://www.myntra.com/jeans/campus-sutra/campus-sutra-men-blue-jogger-fit-mid-rise-clean-look-stretchable-jeans/8375977/buy</t>
  </si>
  <si>
    <t>tokyo talkies women blue tapered fit mid rise clean look stretchable jeans</t>
  </si>
  <si>
    <t>https://www.myntra.com/jeans/tokyo-talkies/tokyo-talkies-women-blue-tapered-fit-mid-rise-clean-look-stretchable-jeans/9845435/buy</t>
  </si>
  <si>
    <t>sassafras women black solid blazer dress</t>
  </si>
  <si>
    <t>https://www.myntra.com/dresses/sassafras/sassafras-women-black-solid-blazer-dress/13873912/buy</t>
  </si>
  <si>
    <t>28, 30, 32</t>
  </si>
  <si>
    <t>rigo black flared mini skirt</t>
  </si>
  <si>
    <t>https://www.myntra.com/skirts/rigo/rigo-black-flared-mini-skirt/7078933/buy</t>
  </si>
  <si>
    <t>sangria women sea green  rust red printed straight kurta</t>
  </si>
  <si>
    <t>https://www.myntra.com/kurtas/sangria/sangria-women-sea-green--rust-red-printed-straight-kurta/11536894/buy</t>
  </si>
  <si>
    <t>vishudh women maroon checked kurta with palazzos</t>
  </si>
  <si>
    <t>https://www.myntra.com/kurta-sets/vishudh/vishudh-women-maroon-checked-kurta-with-palazzos/8773391/buy</t>
  </si>
  <si>
    <t>ether men navy blue melange solid round neck pure cotton t shirt with chest pocket</t>
  </si>
  <si>
    <t>https://www.myntra.com/tshirts/ether/ether-men-navy-blue-melange-solid-round-neck-pure-cotton-t-shirt-with-chest-pocket/11752134/buy</t>
  </si>
  <si>
    <t>mast  harbour men mustard slim fit casual shirt</t>
  </si>
  <si>
    <t>https://www.myntra.com/shirts/mast--harbour/mast--harbour-men-mustard-slim-fit-casual-shirt/2271714/buy</t>
  </si>
  <si>
    <t>roadster men maroon cotton linen sustainable casual shirt</t>
  </si>
  <si>
    <t>https://www.myntra.com/shirts/roadster/roadster-men-maroon-cotton-linen-sustainable-casual-shirt/8217979/buy</t>
  </si>
  <si>
    <t>roadster men black skinny fit mid rise clean look stretchable jeans</t>
  </si>
  <si>
    <t>https://www.myntra.com/jeans/roadster/roadster-men-black-skinny-fit-mid-rise-clean-look-stretchable-jeans/9716731/buy</t>
  </si>
  <si>
    <t>tokyo talkies women navy blue  white striped regular shorts</t>
  </si>
  <si>
    <t>https://www.myntra.com/shorts/tokyo-talkies/tokyo-talkies-women-navy-blue--white-striped-regular-shorts/11970554/buy</t>
  </si>
  <si>
    <t>libas pink chanderi zari work anarkali maxi dress with pink net dupatta</t>
  </si>
  <si>
    <t>https://www.myntra.com/dresses/libas/libas-pink-chanderi-zari-work-anarkali-maxi-dress-with-pink-net-dupatta/14502098/buy</t>
  </si>
  <si>
    <t>all about you classy beige floral printed pure cotton waisted dress</t>
  </si>
  <si>
    <t>https://www.myntra.com/dresses/all-about-you/all-about-you-classy-beige-floral-printed-pure-cotton-waisted-dress/13205322/buy</t>
  </si>
  <si>
    <t>32B, 32C, 32D, 34B, 34C, 34D, 36B, 36C, 36D, 38B, 38C, 38D, 38DD, 40C, 40D</t>
  </si>
  <si>
    <t>zivame maroon solid underwired lightly padded t shirt bra</t>
  </si>
  <si>
    <t>https://www.myntra.com/bra/zivame/zivame-maroon-solid-underwired-lightly-padded-t-shirt-bra/7432898/buy</t>
  </si>
  <si>
    <t>anouk women black  maroon ethnic motifs pure cotton printed kurta</t>
  </si>
  <si>
    <t>https://www.myntra.com/kurtas/anouk/anouk-women-black--maroon-ethnic-motifs-pure-cotton-printed-kurta/13905664/buy</t>
  </si>
  <si>
    <t>anouk women pink  gold toned printed kurta with palazzos</t>
  </si>
  <si>
    <t>https://www.myntra.com/kurta-sets/anouk/anouk-women-pink--gold-toned-printed-kurta-with-palazzos/11202304/buy</t>
  </si>
  <si>
    <t>vishudh women pink  white printed straight kurta</t>
  </si>
  <si>
    <t>https://www.myntra.com/kurtas/vishudh/vishudh-women-pink--white-printed-straight-kurta/2976313/buy</t>
  </si>
  <si>
    <t>roadster men grey all over printed round neck t shirt</t>
  </si>
  <si>
    <t>https://www.myntra.com/tshirts/roadster/roadster-men-grey-all-over-printed-round-neck-t-shirt/2475652/buy</t>
  </si>
  <si>
    <t>roadster men grey slim fit mid rise clean look stretchable jeans</t>
  </si>
  <si>
    <t>https://www.myntra.com/jeans/roadster/roadster-men-grey-slim-fit-mid-rise-clean-look-stretchable-jeans/8962319/buy</t>
  </si>
  <si>
    <t>dressberry women black solid sheath dress</t>
  </si>
  <si>
    <t>https://www.myntra.com/dresses/dressberry/dressberry-women-black-solid-sheath-dress/10526790/buy</t>
  </si>
  <si>
    <t>sangria black  white striped a line kurta</t>
  </si>
  <si>
    <t>https://www.myntra.com/kurtas/sangria/sangria-black--white-striped-a-line-kurta/9371099/buy</t>
  </si>
  <si>
    <t>mitera beige  teal blue silk saree</t>
  </si>
  <si>
    <t>https://www.myntra.com/sarees/mitera/mitera-beige--teal-blue-silk-saree/10968928/buy</t>
  </si>
  <si>
    <t>nayo women pink  off white floral screen print a line pure cotton kurta set with dupatta</t>
  </si>
  <si>
    <t>https://www.myntra.com/kurta-sets/nayo/nayo-women-pink--off-white-floral-screen-print-a-line-pure-cotton-kurta-set-with-dupatta/14346084/buy</t>
  </si>
  <si>
    <t>19% OFF</t>
  </si>
  <si>
    <t>hypernation men black solid high neck t shirt</t>
  </si>
  <si>
    <t>Hypernation</t>
  </si>
  <si>
    <t>https://www.myntra.com/tshirts/hypernation/hypernation-men-black-solid-high-neck-t-shirt/8255921/buy</t>
  </si>
  <si>
    <t>roadster men black  beige conversational printed pure cotton sustainable casual shirt</t>
  </si>
  <si>
    <t>https://www.myntra.com/shirts/roadster/roadster-men-black--beige-conversational-printed-pure-cotton-sustainable-casual-shirt/11895970/buy</t>
  </si>
  <si>
    <t>roadster women maroon pack of 2 typography print round neck regular fit t shirts</t>
  </si>
  <si>
    <t>https://www.myntra.com/tshirts/roadster/roadster-women-maroon-pack-of-2-typography-print-round-neck-regular-fit-t-shirts/17383238/buy</t>
  </si>
  <si>
    <t>sassafras mustard yellow  green floral print wrap asymmetric dress</t>
  </si>
  <si>
    <t>https://www.myntra.com/dresses/sassafras/sassafras-mustard-yellow--green-floral-print-wrap-asymmetric-dress/11364204/buy</t>
  </si>
  <si>
    <t>S/M, L/XL</t>
  </si>
  <si>
    <t>hrx by hrithik roshan women white  blue dyed round neck crop pure cotton t shirt</t>
  </si>
  <si>
    <t>https://www.myntra.com/tshirts/hrx-by-hrithik-roshan/hrx-by-hrithik-roshan-women-white--blue-dyed-round-neck-crop-pure-cotton-t-shirt/11704426/buy</t>
  </si>
  <si>
    <t>varanga women pink  white leheriya printed angrakha kurta with embroidery</t>
  </si>
  <si>
    <t>https://www.myntra.com/kurtas/varanga/varanga-women-pink--white-leheriya-printed-angrakha-kurta-with-embroidery/13647622/buy</t>
  </si>
  <si>
    <t>anouk women mustard printed fit and flare dress</t>
  </si>
  <si>
    <t>https://www.myntra.com/dresses/anouk/anouk-women-mustard-printed-fit-and-flare-dress/7745356/buy</t>
  </si>
  <si>
    <t>highlander men rust slim fit solid casual shirt</t>
  </si>
  <si>
    <t>https://www.myntra.com/shirts/highlander/highlander-men-rust-slim-fit-solid-casual-shirt/4286779/buy</t>
  </si>
  <si>
    <t>highlander men blue solid denim jacket jacket</t>
  </si>
  <si>
    <t>https://www.myntra.com/jackets/highlander/highlander-men-blue-solid-denim-jacket-jacket/11009086/buy</t>
  </si>
  <si>
    <t>hrx active by hrithik roshan men grey solid sporty jacket</t>
  </si>
  <si>
    <t>https://www.myntra.com/jackets/hrx-by-hrithik-roshan/hrx-active-by-hrithik-roshan-men-grey-solid-sporty-jacket/4923947/buy</t>
  </si>
  <si>
    <t>invictus black slim fit formal trousers</t>
  </si>
  <si>
    <t>https://www.myntra.com/trousers/invictus/invictus-black-slim-fit-formal-trousers/1199568/buy</t>
  </si>
  <si>
    <t>https://www.myntra.com/jeans/wrogn/wrogn-men-blue-skinny-fit-mid-rise-clean-look-stretchable-jeans/8673407/buy</t>
  </si>
  <si>
    <t>highlander men black solid slim fit sports shorts</t>
  </si>
  <si>
    <t>https://www.myntra.com/shorts/highlander/highlander-men-black-solid-slim-fit-sports-shorts/13842332/buy</t>
  </si>
  <si>
    <t>Rs. 500 OFF</t>
  </si>
  <si>
    <t>the roadster lifestyle co women black solid round neck pure cotton t shirt</t>
  </si>
  <si>
    <t>https://www.myntra.com/tshirts/roadster/the-roadster-lifestyle-co-women-black-solid-round-neck-pure-cotton-t-shirt/10301079/buy</t>
  </si>
  <si>
    <t>roadster women maroon solid sustainable top</t>
  </si>
  <si>
    <t>https://www.myntra.com/tops/roadster/roadster-women-maroon-solid-sustainable-top/10964434/buy</t>
  </si>
  <si>
    <t>sassafras women sea green solid boxy cropped sweatshirt</t>
  </si>
  <si>
    <t>https://www.myntra.com/sweatshirts/sassafras/sassafras-women-sea-green-solid-boxy-cropped-sweatshirt/12222024/buy</t>
  </si>
  <si>
    <t>https://www.myntra.com/sweatshirts/roadster/roadster-women-lavender-solid-sweatshirt/11991406/buy</t>
  </si>
  <si>
    <t>claura women pink  black checked lounge pants</t>
  </si>
  <si>
    <t>Claura</t>
  </si>
  <si>
    <t>https://www.myntra.com/lounge-pants/claura/claura-women-pink--black-checked-lounge-pants/12096672/buy</t>
  </si>
  <si>
    <t>ahalyaa women green  burgundy printed kurta with churidar  dupatta</t>
  </si>
  <si>
    <t>https://www.myntra.com/kurta-sets/ahalyaa/ahalyaa-women-green--burgundy-printed-kurta-with-churidar--dupatta/11080108/buy</t>
  </si>
  <si>
    <t>mast  harbour men set of 3 grey melange socks</t>
  </si>
  <si>
    <t>https://www.myntra.com/socks/mast--harbour/mast--harbour-men-set-of-3-grey-melange-socks/618673/buy</t>
  </si>
  <si>
    <t>highlander men blue slim fit mid rise clean look acid wash stretchable jeans</t>
  </si>
  <si>
    <t>https://www.myntra.com/jeans/highlander/highlander-men-blue-slim-fit-mid-rise-clean-look-acid-wash-stretchable-jeans/3077230/buy</t>
  </si>
  <si>
    <t>roadster women pack of 2 pure cotton t shirts</t>
  </si>
  <si>
    <t>https://www.myntra.com/tshirts/roadster/roadster-women-pack-of-2-pure-cotton-t-shirts/17384032/buy</t>
  </si>
  <si>
    <t>berrylush navy blue floral printed fit and flare dress</t>
  </si>
  <si>
    <t>Berrylush</t>
  </si>
  <si>
    <t>https://www.myntra.com/dresses/berrylush/berrylush-navy-blue-floral-printed-fit-and-flare-dress/13191668/buy</t>
  </si>
  <si>
    <t>scorpius women black solid crop top</t>
  </si>
  <si>
    <t>https://www.myntra.com/tops/scorpius/scorpius-women-black-solid-crop-top/11966466/buy</t>
  </si>
  <si>
    <t>saree mall charcoal grey embelished detail lace saree</t>
  </si>
  <si>
    <t>https://www.myntra.com/sarees/saree-mall/saree-mall-charcoal-grey-embelished-detail-lace-saree/10264741/buy</t>
  </si>
  <si>
    <t>taavi women black  grey hand block print sustainable pure cotton dupatta</t>
  </si>
  <si>
    <t>dupatta</t>
  </si>
  <si>
    <t>https://www.myntra.com/dupatta/taavi/taavi-women-black--grey-hand-block-print-sustainable-pure-cotton-dupatta/9345953/buy</t>
  </si>
  <si>
    <t>dressberry coral pink floral high low top</t>
  </si>
  <si>
    <t>https://www.myntra.com/tops/dressberry/dressberry-coral-pink-floral-high-low-top/8282019/buy</t>
  </si>
  <si>
    <t>street 9 dusty rose embellished peplum top</t>
  </si>
  <si>
    <t>https://www.myntra.com/tops/street-9/street-9-dusty-rose-embellished-peplum-top/7287261/buy</t>
  </si>
  <si>
    <t>https://www.myntra.com/tshirts/roadster/roadster-women-pack-of-2-pure-cotton-typography-print-t-shirts/17384820/buy</t>
  </si>
  <si>
    <t>pluss women sea green self design peplum top</t>
  </si>
  <si>
    <t>https://www.myntra.com/tops/pluss/pluss-women-sea-green-self-design-peplum-top/6521613/buy</t>
  </si>
  <si>
    <t>softrose women pack of 3 boyshorts sh7004pfc</t>
  </si>
  <si>
    <t>Softrose</t>
  </si>
  <si>
    <t>https://www.myntra.com/briefs/softrose/softrose-women-pack-of-3-boyshorts-sh7004pfc/782817/buy</t>
  </si>
  <si>
    <t>32A, 32B, 32C, 34A, 34B, 34C, 36A, 36B, 36C, 38A, 38B, 38C</t>
  </si>
  <si>
    <t>jockey black moulded cami bra ss12</t>
  </si>
  <si>
    <t>https://www.myntra.com/bra/jockey/jockey-black-moulded-cami-bra-ss12/27502/buy</t>
  </si>
  <si>
    <t>anayna women lime green  off white bandhani screen print cotton angrakha kurta</t>
  </si>
  <si>
    <t>anayna</t>
  </si>
  <si>
    <t>https://www.myntra.com/kurtas/anayna/anayna-women-lime-green--off-white-bandhani-screen-print-cotton-angrakha-kurta/13932876/buy</t>
  </si>
  <si>
    <t>roadster men beige  red checked casual reversible sustainable shirt</t>
  </si>
  <si>
    <t>https://www.myntra.com/shirts/roadster/roadster-men-beige--red-checked-casual-reversible-sustainable-shirt/11896318/buy</t>
  </si>
  <si>
    <t>highlander men maroon  navy blue slim fit checked casual shirt</t>
  </si>
  <si>
    <t>https://www.myntra.com/shirts/highlander/highlander-men-maroon--navy-blue-slim-fit-checked-casual-shirt/8988447/buy</t>
  </si>
  <si>
    <t>roadster women blue stretchable jeggings</t>
  </si>
  <si>
    <t>https://www.myntra.com/jeggings/roadster/roadster-women-blue-stretchable-jeggings/2367846/buy</t>
  </si>
  <si>
    <t>sassafras green  pink floral printed wrap dress</t>
  </si>
  <si>
    <t>https://www.myntra.com/dresses/sassafras/sassafras-green--pink-floral-printed-wrap-dress/10856364/buy</t>
  </si>
  <si>
    <t>chemistry women blue flared fit mid rise clean look stretchable jeans</t>
  </si>
  <si>
    <t>Chemistry</t>
  </si>
  <si>
    <t>https://www.myntra.com/jeans/chemistry/chemistry-women-blue-flared-fit-mid-rise-clean-look-stretchable-jeans/8317537/buy</t>
  </si>
  <si>
    <t>hrx by hrithik roshan women black pure cotton solid track pants with side stripe detail</t>
  </si>
  <si>
    <t>https://www.myntra.com/track-pants/hrx-by-hrithik-roshan/hrx-by-hrithik-roshan-women-black-pure-cotton-solid-track-pants-with-side-stripe-detail/4444122/buy</t>
  </si>
  <si>
    <t>XL, L, M, S, XS</t>
  </si>
  <si>
    <t>roadster women black  blue pack of 2 typography print round neck knitted t shirts</t>
  </si>
  <si>
    <t>https://www.myntra.com/tshirts/roadster/roadster-women-black--blue-pack-of-2-typography-print-round-neck-knitted-t-shirts/17383532/buy</t>
  </si>
  <si>
    <t>dressberry women black washed super skinny fit jeggings</t>
  </si>
  <si>
    <t>https://www.myntra.com/jeggings/dressberry/dressberry-women-black-washed-super-skinny-fit-jeggings/10967126/buy</t>
  </si>
  <si>
    <t>72% OFF</t>
  </si>
  <si>
    <t>https://www.myntra.com/sarees/mitera/mitera-maroon--gold-toned-silk-blend-woven-design-kanjeevaram-saree/11117398/buy</t>
  </si>
  <si>
    <t>the roadster lifestyle co men maroon  grey checked sustainable casual shirt</t>
  </si>
  <si>
    <t>https://www.myntra.com/shirts/roadster/the-roadster-lifestyle-co-men-maroon--grey-checked-sustainable-casual-shirt/10759302/buy</t>
  </si>
  <si>
    <t>campus sutra men mustard yellow printed hooded sweatshirt</t>
  </si>
  <si>
    <t>https://www.myntra.com/sweatshirts/campus-sutra/campus-sutra-men-mustard-yellow-printed-hooded-sweatshirt/13070348/buy</t>
  </si>
  <si>
    <t>Rs. 38 OFF</t>
  </si>
  <si>
    <t>bewakoof women black solid round neck pure cotton t shirt</t>
  </si>
  <si>
    <t>Bewakoof</t>
  </si>
  <si>
    <t>https://www.myntra.com/tshirts/bewakoof/bewakoof-women-black-solid-round-neck-pure-cotton-t-shirt/12331848/buy</t>
  </si>
  <si>
    <t>vishudh women red  solid kurta with trousers</t>
  </si>
  <si>
    <t>https://www.myntra.com/kurta-sets/vishudh/vishudh-women-red--solid-kurta-with-trousers/7572940/buy</t>
  </si>
  <si>
    <t>roadster women pack of 2 pure cotton colourblocked t shirts</t>
  </si>
  <si>
    <t>https://www.myntra.com/tshirts/roadster/roadster-women-pack-of-2-pure-cotton-colourblocked-t-shirts/17384212/buy</t>
  </si>
  <si>
    <t>street 9 women green solid satin finish bardot top</t>
  </si>
  <si>
    <t>https://www.myntra.com/tops/street-9/street-9-women-green-solid-satin-finish-bardot-top/8160645/buy</t>
  </si>
  <si>
    <t>roadster men charcoal grey melange solid scoop neck pure cotton t shirt with racer back</t>
  </si>
  <si>
    <t>https://www.myntra.com/tshirts/roadster/roadster-men-charcoal-grey-melange-solid-scoop-neck-pure-cotton-t-shirt-with-racer-back/11632492/buy</t>
  </si>
  <si>
    <t>locomotive men blue  navy blue slim fit checked casual shirt</t>
  </si>
  <si>
    <t>https://www.myntra.com/shirts/locomotive/locomotive-men-blue--navy-blue-slim-fit-checked-casual-shirt/10341691/buy</t>
  </si>
  <si>
    <t>us polo assn men assorted solid briefs i666 615 p1</t>
  </si>
  <si>
    <t>https://www.myntra.com/briefs/us-polo-assn/us-polo-assn-men-assorted-solid-briefs-i666-615-p1/10248005/buy</t>
  </si>
  <si>
    <t>M, L, XL</t>
  </si>
  <si>
    <t>38% OFF</t>
  </si>
  <si>
    <t>claura women pack of 2 black  grey lounge pants lower 11 grey blak</t>
  </si>
  <si>
    <t>https://www.myntra.com/lounge-pants/claura/claura-women-pack-of-2-black--grey-lounge-pants-lower-11-grey-blak/6632589/buy</t>
  </si>
  <si>
    <t>anouk women grey  rust orange yellow printed kurta with palazzos</t>
  </si>
  <si>
    <t>https://www.myntra.com/kurta-sets/anouk/anouk-women-grey--rust-orange-yellow-printed-kurta-with-palazzos/11201504/buy</t>
  </si>
  <si>
    <t>vimal men pack of 2 black solid lounge pants</t>
  </si>
  <si>
    <t>https://www.myntra.com/lounge-pants/vimal/vimal-men-pack-of-2-black-solid-lounge-pants/11807560/buy</t>
  </si>
  <si>
    <t>herenow men grey slim tapered fit mid rise clean look stretchable cropped jeans</t>
  </si>
  <si>
    <t>https://www.myntra.com/jeans/herenow/herenow-men-grey-slim-tapered-fit-mid-rise-clean-look-stretchable-cropped-jeans/12183976/buy</t>
  </si>
  <si>
    <t>27% OFF</t>
  </si>
  <si>
    <t>high star women black bootcut high rise clean look stretchable jeans</t>
  </si>
  <si>
    <t>https://www.myntra.com/jeans/high-star/high-star-women-black-bootcut-high-rise-clean-look-stretchable-jeans/13265560/buy</t>
  </si>
  <si>
    <t>Rs. 300 OFF</t>
  </si>
  <si>
    <t>xyxx men super combed cotton pack of 2 checkmate lounge pants xypyjm2pckn05</t>
  </si>
  <si>
    <t>https://www.myntra.com/lounge-pants/xyxx/xyxx-men-super-combed-cotton-pack-of-2-checkmate-lounge-pants-xypyjm2pckn05/10852574/buy</t>
  </si>
  <si>
    <t>maniac men black solid slim fit joggers</t>
  </si>
  <si>
    <t>https://www.myntra.com/track-pants/maniac/maniac-men-black-solid-slim-fit-joggers/9436563/buy</t>
  </si>
  <si>
    <t>mast  harbour women white printed round neck t shirt</t>
  </si>
  <si>
    <t>https://www.myntra.com/tshirts/mast--harbour/mast--harbour-women-white-printed-round-neck-t-shirt/8325383/buy</t>
  </si>
  <si>
    <t>athena lavender scuba bodycon maxi tulle dress with ruffled shoulder</t>
  </si>
  <si>
    <t>https://www.myntra.com/dresses/athena/athena-lavender-scuba-bodycon-maxi-tulle-dress-with-ruffled-shoulder/15227166/buy</t>
  </si>
  <si>
    <t>uf women maroon solid maxi dress</t>
  </si>
  <si>
    <t>https://www.myntra.com/dresses/uf/uf-women-maroon-solid-maxi-dress/11099542/buy</t>
  </si>
  <si>
    <t>tokyo talkies women lavender solid regular fit track pants</t>
  </si>
  <si>
    <t>https://www.myntra.com/track-pants/tokyo-talkies/tokyo-talkies-women-lavender-solid-regular-fit-track-pants/14062984/buy</t>
  </si>
  <si>
    <t>varanga women lime green striped kurta</t>
  </si>
  <si>
    <t>https://www.myntra.com/kurtas/varanga/varanga-women-lime-green-striped-kurta/14489508/buy</t>
  </si>
  <si>
    <t>herenow women beige  maroon printed straight kurta</t>
  </si>
  <si>
    <t>https://www.myntra.com/kurtas/herenow/herenow-women-beige--maroon-printed-straight-kurta/12520604/buy</t>
  </si>
  <si>
    <t>hrx by hrithik roshan men ankle length pack of 3 socks</t>
  </si>
  <si>
    <t>https://www.myntra.com/socks/hrx-by-hrithik-roshan/hrx-by-hrithik-roshan-men-ankle-length-pack-of-3-socks/2510307/buy</t>
  </si>
  <si>
    <t>twin birds women black solid plus ankle length leggings</t>
  </si>
  <si>
    <t>https://www.myntra.com/leggings/twin-birds/twin-birds-women-black-solid-plus-ankle-length-leggings/11902186/buy</t>
  </si>
  <si>
    <t>roadster men black slim fit mid rise clean look stretchable jeans</t>
  </si>
  <si>
    <t>https://www.myntra.com/jeans/roadster/roadster-men-black-slim-fit-mid-rise-clean-look-stretchable-jeans/10064533/buy</t>
  </si>
  <si>
    <t>tokyo talkies women black super skinny fit mid rise clean look stretchable jeans</t>
  </si>
  <si>
    <t>https://www.myntra.com/jeans/tokyo-talkies/tokyo-talkies-women-black-super-skinny-fit-mid-rise-clean-look-stretchable-jeans/8083185/buy</t>
  </si>
  <si>
    <t>https://www.myntra.com/tshirts/mast--harbour/mast--harbour-women-pack-of-2-cotton-t-shirts/17524634/buy</t>
  </si>
  <si>
    <t>vishudh women maroon ethnic motifs printed regular pure cotton kurta with trousers</t>
  </si>
  <si>
    <t>https://www.myntra.com/kurta-sets/vishudh/vishudh-women-maroon-ethnic-motifs-printed-regular-pure-cotton-kurta-with-trousers/10089243/buy</t>
  </si>
  <si>
    <t>ishin navy poly georgette printed saree</t>
  </si>
  <si>
    <t>https://www.myntra.com/sarees/ishin/ishin-navy-poly-georgette-printed-saree/1566011/buy</t>
  </si>
  <si>
    <t>sassafras women black smart high rise graduated flare trousers</t>
  </si>
  <si>
    <t>https://www.myntra.com/trousers/sassafras/sassafras-women-black-smart-high-rise-graduated-flare-trousers/14994900/buy</t>
  </si>
  <si>
    <t>veni vidi vici black self design crop top</t>
  </si>
  <si>
    <t>https://www.myntra.com/tops/veni-vidi-vici/veni-vidi-vici-black-self-design-crop-top/1617114/buy</t>
  </si>
  <si>
    <t>herenow love is in the air boxy t shirt</t>
  </si>
  <si>
    <t>https://www.myntra.com/tshirts/herenow/herenow-love-is-in-the-air-boxy-t-shirt/8813173/buy</t>
  </si>
  <si>
    <t>73% OFF</t>
  </si>
  <si>
    <t>indo era women burgundy  golden ethnic motifs yoke design kurta</t>
  </si>
  <si>
    <t>Indo Era</t>
  </si>
  <si>
    <t>https://www.myntra.com/kurtas/indo-era/indo-era-women-burgundy--golden-ethnic-motifs-yoke-design-kurta/15098616/buy</t>
  </si>
  <si>
    <t>15% OFF</t>
  </si>
  <si>
    <t>mast  harbour men set of 3 ankle length socks</t>
  </si>
  <si>
    <t>https://www.myntra.com/socks/mast--harbour/mast--harbour-men-set-of-3-ankle-length-socks/1575063/buy</t>
  </si>
  <si>
    <t>invictus navy slim fit formal trousers</t>
  </si>
  <si>
    <t>https://www.myntra.com/trousers/invictus/invictus-navy-slim-fit-formal-trousers/1199569/buy</t>
  </si>
  <si>
    <t>mast  harbour men white slim fit mid rise clean look stretchable jeans</t>
  </si>
  <si>
    <t>https://www.myntra.com/jeans/mast--harbour/mast--harbour-men-white-slim-fit-mid-rise-clean-look-stretchable-jeans/2485350/buy</t>
  </si>
  <si>
    <t>roadster women navy blue skinny fit mid rise high rise clean look jeans</t>
  </si>
  <si>
    <t>https://www.myntra.com/jeans/roadster/roadster-women-navy-blue-skinny-fit-mid-rise-high-rise-clean-look-jeans/11118422/buy</t>
  </si>
  <si>
    <t>roadster black self design sustainable top</t>
  </si>
  <si>
    <t>https://www.myntra.com/tops/roadster/roadster-black-self-design-sustainable-top/11021016/buy</t>
  </si>
  <si>
    <t>vishudh women turquoise blue printed straight kurta</t>
  </si>
  <si>
    <t>https://www.myntra.com/kurtas/vishudh/vishudh-women-turquoise-blue-printed-straight-kurta/10649248/buy</t>
  </si>
  <si>
    <t>Rs. 550 OFF</t>
  </si>
  <si>
    <t>veirdo men black printed round neck pure cotton t shirt</t>
  </si>
  <si>
    <t>VEIRDO</t>
  </si>
  <si>
    <t>https://www.myntra.com/tshirts/veirdo/veirdo-men-black-printed-round-neck-pure-cotton-t-shirt/12915204/buy</t>
  </si>
  <si>
    <t>kook n keech marvel men black  white printed round neck pure cotton t shirt</t>
  </si>
  <si>
    <t>https://www.myntra.com/tshirts/kook-n-keech-marvel/kook-n-keech-marvel-men-black--white-printed-round-neck-pure-cotton-t-shirt/8972475/buy</t>
  </si>
  <si>
    <t>S, XS, XL, XXL, L, M</t>
  </si>
  <si>
    <t>see designs men blue  beige printed straight kurta</t>
  </si>
  <si>
    <t>https://www.myntra.com/kurtas/see-designs/see-designs-men-blue--beige-printed-straight-kurta/11312646/buy</t>
  </si>
  <si>
    <t>roadster men blue premium mildly distressed acid wash skinny fit stretchable lycra fiber jeans</t>
  </si>
  <si>
    <t>https://www.myntra.com/jeans/roadster/roadster-men-blue-premium-mildly-distressed-acid-wash-skinny-fit-stretchable-lycra-fiber-jeans/9114357/buy</t>
  </si>
  <si>
    <t>dressberry women deep navy blue romantic florals dress</t>
  </si>
  <si>
    <t>https://www.myntra.com/dresses/dressberry/dressberry-women-deep-navy-blue-romantic-florals-dress/10440496/buy</t>
  </si>
  <si>
    <t>tikhi imli black  red polycotton printed saree</t>
  </si>
  <si>
    <t>https://www.myntra.com/sarees/tikhi-imli/tikhi-imli-black--red-polycotton-printed-saree/10381759/buy</t>
  </si>
  <si>
    <t>herenow men grey  white dyed round neck pure cotton t shirt</t>
  </si>
  <si>
    <t>https://www.myntra.com/tshirts/herenow/herenow-men-grey--white-dyed-round-neck-pure-cotton-t-shirt/9376103/buy</t>
  </si>
  <si>
    <t>hrx by hrithik roshan men black solid regular fit rapid dry cricket track pants</t>
  </si>
  <si>
    <t>https://www.myntra.com/track-pants/hrx-by-hrithik-roshan/hrx-by-hrithik-roshan-men-black-solid-regular-fit-rapid-dry-cricket-track-pants/11640816/buy</t>
  </si>
  <si>
    <t>kook n keech women white graphic printed cotton pure cotton t shirt</t>
  </si>
  <si>
    <t>https://www.myntra.com/tshirts/kook-n-keech/kook-n-keech-women-white-graphic-printed-cotton-pure-cotton-t-shirt/12104196/buy</t>
  </si>
  <si>
    <t>tokyo talkies women black  white striped top</t>
  </si>
  <si>
    <t>https://www.myntra.com/tops/tokyo-talkies/tokyo-talkies-women-black--white-striped-top/12009576/buy</t>
  </si>
  <si>
    <t>her by invictus white semi sheer top</t>
  </si>
  <si>
    <t>https://www.myntra.com/tops/her-by-invictus/her-by-invictus-white-semi-sheer-top/6939221/buy</t>
  </si>
  <si>
    <t>campus sutra men navy blue solid hooded sweatshirt</t>
  </si>
  <si>
    <t>https://www.myntra.com/sweatshirts/campus-sutra/campus-sutra-men-navy-blue-solid-hooded-sweatshirt/10381405/buy</t>
  </si>
  <si>
    <t>hrx by hrithik roshan men black solid sweatshirt</t>
  </si>
  <si>
    <t>https://www.myntra.com/sweatshirts/hrx-by-hrithik-roshan/hrx-by-hrithik-roshan-men-black-solid-sweatshirt/1960337/buy</t>
  </si>
  <si>
    <t>https://www.myntra.com/jeans/roadster/roadster-men-blue-skinny-fit-mid-rise-clean-look-stretchable-jeans/11274708/buy</t>
  </si>
  <si>
    <t>roadster men black skinny fit mid rise clean look stretchable lycra fiber jeans</t>
  </si>
  <si>
    <t>https://www.myntra.com/jeans/roadster/roadster-men-black-skinny-fit-mid-rise-clean-look-stretchable-lycra-fiber-jeans/9716723/buy</t>
  </si>
  <si>
    <t>roadster men olive green slim fit printed joggers</t>
  </si>
  <si>
    <t>https://www.myntra.com/trousers/roadster/roadster-men-olive-green-slim-fit-printed-joggers/2145329/buy</t>
  </si>
  <si>
    <t>sassafras cream coloured  pink floral printed maxi dress</t>
  </si>
  <si>
    <t>https://www.myntra.com/dresses/sassafras/sassafras-cream-coloured--pink-floral-printed-maxi-dress/11364356/buy</t>
  </si>
  <si>
    <t>kotty women black boyfriend fit high rise clean look jeans</t>
  </si>
  <si>
    <t>Kotty</t>
  </si>
  <si>
    <t>https://www.myntra.com/jeans/kotty/kotty-women-black-boyfriend-fit-high-rise-clean-look-jeans/12161178/buy</t>
  </si>
  <si>
    <t>scorpius women pack of 2 solid crop pure cotton tops</t>
  </si>
  <si>
    <t>https://www.myntra.com/tops/scorpius/scorpius-women-pack-of-2-solid-crop-pure-cotton-tops/9340383/buy</t>
  </si>
  <si>
    <t>tokyo talkies women rose lace shirt dress</t>
  </si>
  <si>
    <t>https://www.myntra.com/dresses/tokyo-talkies/tokyo-talkies-women-rose-lace-shirt-dress/10981590/buy</t>
  </si>
  <si>
    <t>street 9 navy blue one shoulder fit  flare dress</t>
  </si>
  <si>
    <t>https://www.myntra.com/dresses/street-9/street-9-navy-blue-one-shoulder-fit--flare-dress/7287282/buy</t>
  </si>
  <si>
    <t>dressberry women stylish black solid fringed shorts</t>
  </si>
  <si>
    <t>https://www.myntra.com/shorts/dressberry/dressberry-women-stylish-black-solid-fringed-shorts/11264142/buy</t>
  </si>
  <si>
    <t>pluss women red embroidered fit  flare dress</t>
  </si>
  <si>
    <t>https://www.myntra.com/dresses/pluss/pluss-women-red-embroidered-fit--flare-dress/9657035/buy</t>
  </si>
  <si>
    <t>pluss women blue printed peplum top</t>
  </si>
  <si>
    <t>https://www.myntra.com/tops/pluss/pluss-women-blue-printed-peplum-top/8715089/buy</t>
  </si>
  <si>
    <t>highlander men black slim fit casual shirt</t>
  </si>
  <si>
    <t>https://www.myntra.com/shirts/highlander/highlander-men-black-slim-fit-casual-shirt/12027774/buy</t>
  </si>
  <si>
    <t>https://www.myntra.com/tshirts/roadster/-roadster-women-pack-of-2-cotton-t-shirts/17382688/buy</t>
  </si>
  <si>
    <t>sassafras sea green  red floral print a line dress</t>
  </si>
  <si>
    <t>https://www.myntra.com/dresses/sassafras/sassafras-sea-green--red-floral-print-a-line-dress/1774662/buy</t>
  </si>
  <si>
    <t>her by invictus teal blue  black conversational pleated top</t>
  </si>
  <si>
    <t>https://www.myntra.com/tops/her-by-invictus/her-by-invictus-teal-blue--black-conversational-pleated-top/10821238/buy</t>
  </si>
  <si>
    <t>tokyo talkies women rust red floral printed dress</t>
  </si>
  <si>
    <t>https://www.myntra.com/dresses/tokyo-talkies/tokyo-talkies-women-rust-red-floral-printed-dress/10088851/buy</t>
  </si>
  <si>
    <t>roadster men blue pure cotton washed denim sustainable shirt</t>
  </si>
  <si>
    <t>https://www.myntra.com/shirts/roadster/roadster-men-blue-pure-cotton-washed-denim-sustainable-shirt/1376192/buy</t>
  </si>
  <si>
    <t>roadster men blue skinny fit mid rise acid wash clean look stretchable jeans</t>
  </si>
  <si>
    <t>https://www.myntra.com/jeans/roadster/roadster-men-blue-skinny-fit-mid-rise-acid-wash-clean-look-stretchable-jeans/11274476/buy</t>
  </si>
  <si>
    <t>sassafras women fluorescent green blessed print round neck t shirt</t>
  </si>
  <si>
    <t>https://www.myntra.com/tshirts/sassafras/sassafras-women-fluorescent-green-blessed-print-round-neck-t-shirt/12737822/buy</t>
  </si>
  <si>
    <t>mast  harbour women pack of 2 t shirts</t>
  </si>
  <si>
    <t>https://www.myntra.com/tshirts/mast--harbour/mast--harbour-women-pack-of-2-t-shirts/17524574/buy</t>
  </si>
  <si>
    <t>pluss blue striped fit and flare dress</t>
  </si>
  <si>
    <t>https://www.myntra.com/dresses/pluss/pluss-blue-striped-fit-and-flare-dress/7753715/buy</t>
  </si>
  <si>
    <t>herenow women blue bootcut high rise clean look stretchable cropped jeans</t>
  </si>
  <si>
    <t>https://www.myntra.com/jeans/herenow/herenow-women-blue-bootcut-high-rise-clean-look-stretchable-cropped-jeans/9072729/buy</t>
  </si>
  <si>
    <t>roadster men green melange solid v neck t shirt</t>
  </si>
  <si>
    <t>https://www.myntra.com/tshirts/roadster/roadster-men-green-melange-solid-v-neck-t-shirt/1996729/buy</t>
  </si>
  <si>
    <t>roadster men black  grey slim fit checked sustainable casual shirt</t>
  </si>
  <si>
    <t>https://www.myntra.com/shirts/roadster/roadster-men-black--grey-slim-fit-checked-sustainable-casual-shirt/2116963/buy</t>
  </si>
  <si>
    <t>hrx by hrithik roshan men pack of 2 t shirts</t>
  </si>
  <si>
    <t>https://www.myntra.com/tshirts/hrx-by-hrithik-roshan/hrx-by-hrithik-roshan-men-pack-of-2-t-shirts/16324074/buy</t>
  </si>
  <si>
    <t>sangria women green  orange ethnic print straight kurta</t>
  </si>
  <si>
    <t>https://www.myntra.com/kurtas/sangria/sangria-women-green--orange-ethnic-print-straight-kurta/13437256/buy</t>
  </si>
  <si>
    <t>wrogn white printed pure cotton t shirt</t>
  </si>
  <si>
    <t>https://www.myntra.com/tshirts/wrogn/wrogn-white-printed-pure-cotton-t-shirt/1421972/buy</t>
  </si>
  <si>
    <t>maniac men yellow  navy blue printed round neck pure cotton t shirt</t>
  </si>
  <si>
    <t>https://www.myntra.com/tshirts/maniac/maniac-men-yellow--navy-blue-printed-round-neck-pure-cotton-t-shirt/9256769/buy</t>
  </si>
  <si>
    <t>tokyo talkies women maroon solid port royale casual straight fit track pants</t>
  </si>
  <si>
    <t>https://www.myntra.com/track-pants/tokyo-talkies/tokyo-talkies-women-maroon-solid-port-royale-casual-straight-fit-track-pants/14154064/buy</t>
  </si>
  <si>
    <t>30B, 32B, 34B, 36B, 38B, 40B</t>
  </si>
  <si>
    <t>floret pack of 3 full coverage bras</t>
  </si>
  <si>
    <t>https://www.myntra.com/bra/floret/floret-pack-of-3-full-coverage-bras/851425/buy</t>
  </si>
  <si>
    <t>sangria women teal green  golden zari embroidered angrakha kurta palazzo dupatta set</t>
  </si>
  <si>
    <t>https://www.myntra.com/kurta-sets/sangria/sangria-women-teal-green--golden-zari-embroidered-angrakha-kurta-palazzo-dupatta-set/12104526/buy</t>
  </si>
  <si>
    <t>juniper women maroon  gold coloured printed flared palazzos</t>
  </si>
  <si>
    <t>palazzos</t>
  </si>
  <si>
    <t>Juniper</t>
  </si>
  <si>
    <t>https://www.myntra.com/palazzos/juniper/juniper-women-maroon--gold-coloured-printed-flared-palazzos/11893114/buy</t>
  </si>
  <si>
    <t>roadster men white  navy striped round neck pure cotton t shirt</t>
  </si>
  <si>
    <t>https://www.myntra.com/tshirts/roadster/roadster-men-white--navy-striped-round-neck-pure-cotton-t-shirt/2297744/buy</t>
  </si>
  <si>
    <t>highlander men white  olive green slim fit printed casual shirt</t>
  </si>
  <si>
    <t>https://www.myntra.com/shirts/highlander/highlander-men-white--olive-green-slim-fit-printed-casual-shirt/11889116/buy</t>
  </si>
  <si>
    <t>S, M, XL, XXL, L</t>
  </si>
  <si>
    <t>hrx by hrithik roshan men pack of 2 grey  white t shirt</t>
  </si>
  <si>
    <t>https://www.myntra.com/tshirts/hrx-by-hrithik-roshan/hrx-by-hrithik-roshan-men-pack-of-2-grey--white-t-shirt/16323384/buy</t>
  </si>
  <si>
    <t>the roadster lifestyle co men blue slim fit mid rise clean look stretchable jeans</t>
  </si>
  <si>
    <t>https://www.myntra.com/jeans/roadster/the-roadster-lifestyle-co-men-blue-slim-fit-mid-rise-clean-look-stretchable-jeans/10930336/buy</t>
  </si>
  <si>
    <t>https://www.myntra.com/tshirts/roadster/roadster-women-pack-of-2-printed-cotton-t-shirt/17385104/buy</t>
  </si>
  <si>
    <t>https://www.myntra.com/tshirts/roadster/roadster-women-pack-of-2-pure-cotton-t-shirts/17381480/buy</t>
  </si>
  <si>
    <t>Rs. 1456 OFF</t>
  </si>
  <si>
    <t>ahalyaa green ethnic motifs printed maxi dress</t>
  </si>
  <si>
    <t>https://www.myntra.com/dresses/ahalyaa/ahalyaa-green-ethnic-motifs-printed-maxi-dress/7193789/buy</t>
  </si>
  <si>
    <t>maniac men white striped scoop neck pure cotton t shirt</t>
  </si>
  <si>
    <t>https://www.myntra.com/tshirts/maniac/maniac-men-white-striped-scoop-neck-pure-cotton-t-shirt/9200817/buy</t>
  </si>
  <si>
    <t>tokyo talkies women grey printed fit and flare dress</t>
  </si>
  <si>
    <t>https://www.myntra.com/dresses/tokyo-talkies/tokyo-talkies-women-grey-printed-fit-and-flare-dress/4924933/buy</t>
  </si>
  <si>
    <t>the roadster lifestyle co women green solid sweatshirt</t>
  </si>
  <si>
    <t>https://www.myntra.com/sweatshirts/roadster/the-roadster-lifestyle-co-women-green-solid-sweatshirt/9478295/buy</t>
  </si>
  <si>
    <t>https://www.myntra.com/tshirts/roadster/roadster-women-pack-of-2-pure-cotton-t-shirts/17384216/buy</t>
  </si>
  <si>
    <t>mast  harbour women pack of 2 solid tshirts</t>
  </si>
  <si>
    <t>https://www.myntra.com/tshirts/mast--harbour/mast--harbour-women-pack-of-2-solid-tshirts/17523394/buy</t>
  </si>
  <si>
    <t>sangria women black printed straight kurta</t>
  </si>
  <si>
    <t>https://www.myntra.com/kurtas/sangria/sangria-women-black-printed-straight-kurta/8420231/buy</t>
  </si>
  <si>
    <t>the roadster lifestyle co men blue solid denim jacket</t>
  </si>
  <si>
    <t>https://www.myntra.com/jackets/roadster/the-roadster-lifestyle-co-men-blue-solid-denim-jacket/10617850/buy</t>
  </si>
  <si>
    <t>wrogn men rust orange checked slim casual shirt</t>
  </si>
  <si>
    <t>https://www.myntra.com/shirts/wrogn/wrogn-men-rust-orange-checked-slim-casual-shirt/1427701/buy</t>
  </si>
  <si>
    <t>anouk men maroon  beige printed straight short kurta</t>
  </si>
  <si>
    <t>https://www.myntra.com/kurtas/anouk/anouk-men-maroon--beige-printed-straight-short-kurta/10307987/buy</t>
  </si>
  <si>
    <t>veni vidi vici white ruffled bardot top</t>
  </si>
  <si>
    <t>https://www.myntra.com/tops/veni-vidi-vici/veni-vidi-vici-white-ruffled-bardot-top/7477729/buy</t>
  </si>
  <si>
    <t xml:space="preserve">enamor light pink non wired non padded full coverage everyday tshirt bra a027 </t>
  </si>
  <si>
    <t>https://www.myntra.com/bra/enamor/enamor-light-pink-non-wired-non-padded-full-coverage-everyday-tshirt-bra-a027-/11818414/buy</t>
  </si>
  <si>
    <t xml:space="preserve"> 50 % OFF</t>
  </si>
  <si>
    <t>etc women black pure cotton solid lounge joggers</t>
  </si>
  <si>
    <t>ETC</t>
  </si>
  <si>
    <t>https://www.myntra.com/lounge-pants/etc/etc-women-black-pure-cotton-solid-lounge-joggers/12820436/buy</t>
  </si>
  <si>
    <t>sangria women blue geometric printed straight kurta</t>
  </si>
  <si>
    <t>https://www.myntra.com/kurtas/sangria/sangria-women-blue-geometric-printed-straight-kurta/8349181/buy</t>
  </si>
  <si>
    <t>ether men black slim fit antimicrobial cotton stretch shirt</t>
  </si>
  <si>
    <t>https://www.myntra.com/shirts/ether/ether-men-black-slim-fit-antimicrobial-cotton-stretch-shirt/1155795/buy</t>
  </si>
  <si>
    <t>roadster women lavender  navy printed round neck t shirt</t>
  </si>
  <si>
    <t>https://www.myntra.com/tshirts/roadster/roadster-women-lavender--navy-printed-round-neck-t-shirt/12193758/buy</t>
  </si>
  <si>
    <t>dressberry women navy blue  orange floral print top</t>
  </si>
  <si>
    <t>https://www.myntra.com/tops/dressberry/dressberry-women-navy-blue--orange-floral-print-top/11182738/buy</t>
  </si>
  <si>
    <t>roadster women pack of 2 mustard yellow solid t shirts</t>
  </si>
  <si>
    <t>https://www.myntra.com/tshirts/roadster/roadster-women-pack-of-2-mustard-yellow-solid-t-shirts/17381350/buy</t>
  </si>
  <si>
    <t>roadster men blue striped round neck pure cotton t shirt</t>
  </si>
  <si>
    <t>https://www.myntra.com/tshirts/roadster/roadster-men-blue-striped-round-neck-pure-cotton-t-shirt/2337949/buy</t>
  </si>
  <si>
    <t>taavi men indigo hand block printed straight sustainable kurta with roll up sleeves</t>
  </si>
  <si>
    <t>https://www.myntra.com/kurtas/taavi/taavi-men-indigo-hand-block-printed-straight-sustainable-kurta-with-roll-up-sleeves/9304671/buy</t>
  </si>
  <si>
    <t>sassafras pink  orange floral printed tiered a line dress with puff sleeves</t>
  </si>
  <si>
    <t>https://www.myntra.com/dresses/sassafras/sassafras-pink--orange-floral-printed-tiered-a-line-dress-with-puff-sleeves/13581108/buy</t>
  </si>
  <si>
    <t>scorpius women pack of 2 black solid crop tops</t>
  </si>
  <si>
    <t>https://www.myntra.com/tops/scorpius/scorpius-women-pack-of-2-black-solid-crop-tops/9339767/buy</t>
  </si>
  <si>
    <t>tokyo talkies women navy blue slim fit mid rise clean look stretchable jeans</t>
  </si>
  <si>
    <t>https://www.myntra.com/jeans/tokyo-talkies/tokyo-talkies-women-navy-blue-slim-fit-mid-rise-clean-look-stretchable-jeans/12876646/buy</t>
  </si>
  <si>
    <t>30B, 32B, 32C, 34B, 34C, 36B, 36C, 38B</t>
  </si>
  <si>
    <t>jockey burgundy solid non wired lightly padded everyday bra 1723 0105 btred</t>
  </si>
  <si>
    <t>https://www.myntra.com/bra/jockey/jockey-burgundy-solid-non-wired-lightly-padded-everyday-bra-1723-0105-btred/9314595/buy</t>
  </si>
  <si>
    <t>bhama couture blue  white striped a line pure cotton top</t>
  </si>
  <si>
    <t>Bhama Couture</t>
  </si>
  <si>
    <t>https://www.myntra.com/tops/bhama-couture/bhama-couture-blue--white-striped-a-line-pure-cotton-top/9717187/buy</t>
  </si>
  <si>
    <t>highlander men mustard yellow slim fit solid cotton casual shirt</t>
  </si>
  <si>
    <t>https://www.myntra.com/shirts/highlander/highlander-men-mustard-yellow-slim-fit-solid-cotton-casual-shirt/13957442/buy</t>
  </si>
  <si>
    <t>dressberry navy blue self striped fitted top</t>
  </si>
  <si>
    <t>https://www.myntra.com/tops/dressberry/dressberry-navy-blue-self-striped-fitted-top/11271956/buy</t>
  </si>
  <si>
    <t>roadster women navy blue super skinny fit high rise clean look stretchable jeans</t>
  </si>
  <si>
    <t>https://www.myntra.com/jeans/roadster/roadster-women-navy-blue-super-skinny-fit-high-rise-clean-look-stretchable-jeans/12278628/buy</t>
  </si>
  <si>
    <t>hrx by hrithik roshan women navy blue skinny fit solid rapid dry cropped training tights</t>
  </si>
  <si>
    <t>https://www.myntra.com/tights/hrx-by-hrithik-roshan/hrx-by-hrithik-roshan-women-navy-blue-skinny-fit-solid-rapid-dry-cropped-training-tights/7695782/buy</t>
  </si>
  <si>
    <t>hrx by hrithik roshan women red rapid dry yoga seamless shorts</t>
  </si>
  <si>
    <t>https://www.myntra.com/shorts/hrx-by-hrithik-roshan/hrx-by-hrithik-roshan-women-red-rapid-dry-yoga-seamless-shorts/10106535/buy</t>
  </si>
  <si>
    <t>pluss women pastel green embroidered peplum top</t>
  </si>
  <si>
    <t>https://www.myntra.com/tops/pluss/pluss-women-pastel-green-embroidered-peplum-top/8126453/buy</t>
  </si>
  <si>
    <t>rosaline by zivame blue solid non wired non padded t shirt bra zi1885coreablue0</t>
  </si>
  <si>
    <t>Rosaline by Zivame</t>
  </si>
  <si>
    <t>https://www.myntra.com/bra/rosaline-by-zivame/rosaline-by-zivame-blue-solid-non-wired-non-padded-t-shirt-bra-zi1885coreablue0/11416434/buy</t>
  </si>
  <si>
    <t>laceandme women nude coloured solid shaper briefs 9813</t>
  </si>
  <si>
    <t>shapewear</t>
  </si>
  <si>
    <t>Laceandme</t>
  </si>
  <si>
    <t>https://www.myntra.com/shapewear/laceandme/laceandme-women-nude-coloured-solid-shaper-briefs-9813/12069880/buy</t>
  </si>
  <si>
    <t>vishudh women peach coloured checked straight kurta</t>
  </si>
  <si>
    <t>https://www.myntra.com/kurtas/vishudh/vishudh-women-peach-coloured-checked-straight-kurta/10074627/buy</t>
  </si>
  <si>
    <t>mast  harbour men navy solid round neck pure cotton t shirt</t>
  </si>
  <si>
    <t>https://www.myntra.com/tshirts/mast--harbour/mast--harbour-men-navy-solid-round-neck-pure-cotton-t-shirt/2232130/buy</t>
  </si>
  <si>
    <t>roadster men navy blue  red striped pure cotton sustainable casual shirt</t>
  </si>
  <si>
    <t>https://www.myntra.com/shirts/roadster/roadster-men-navy-blue--red-striped-pure-cotton-sustainable-casual-shirt/10945090/buy</t>
  </si>
  <si>
    <t>highlander men navy blue  grey slim fit checked regular trousers</t>
  </si>
  <si>
    <t>https://www.myntra.com/trousers/highlander/highlander-men-navy-blue--grey-slim-fit-checked-regular-trousers/10144527/buy</t>
  </si>
  <si>
    <t>locomotive men black tapered fit mid rise clean look stretchable jeans</t>
  </si>
  <si>
    <t>https://www.myntra.com/jeans/locomotive/locomotive-men-black-tapered-fit-mid-rise-clean-look-stretchable-jeans/7726426/buy</t>
  </si>
  <si>
    <t>moda rapido men mustard floral resort wear shirt</t>
  </si>
  <si>
    <t>https://www.myntra.com/shirts/moda-rapido/moda-rapido-men-mustard-floral-resort-wear-shirt/11158218/buy</t>
  </si>
  <si>
    <t>Rs. 100 OFF</t>
  </si>
  <si>
    <t>one8 by virat kohli pack of 2 men grey melange  orange solid trunks 10512948 1 10513016 1</t>
  </si>
  <si>
    <t>one8 by Virat Kohli</t>
  </si>
  <si>
    <t>https://www.myntra.com/trunk/one8-by-virat-kohli/one8-by-virat-kohli-pack-of-2-men-grey-melange--orange-solid-trunks-10512948-1-10513016-1/11217408/buy</t>
  </si>
  <si>
    <t>wrogn men blue tapered fit mid rise clean look stretchable cropped jeans</t>
  </si>
  <si>
    <t>https://www.myntra.com/jeans/wrogn/wrogn-men-blue-tapered-fit-mid-rise-clean-look-stretchable-cropped-jeans/10187343/buy</t>
  </si>
  <si>
    <t>https://www.myntra.com/tshirts/roadster/roadster-women-pack-of-2-pure-cotton-t-shirts/2025239/buy</t>
  </si>
  <si>
    <t>varanga women pink  silver toned yoke design kurta with palazzos  dupatta</t>
  </si>
  <si>
    <t>https://www.myntra.com/kurta-sets/varanga/varanga-women-pink--silver-toned-yoke-design-kurta-with-palazzos--dupatta/14046728/buy</t>
  </si>
  <si>
    <t>dillinger women teal blue printed oversized cotton pure cotton t shirt</t>
  </si>
  <si>
    <t>DILLINGER</t>
  </si>
  <si>
    <t>https://www.myntra.com/tshirts/dillinger/dillinger-women-teal-blue-printed-oversized-cotton-pure-cotton-t-shirt/12029628/buy</t>
  </si>
  <si>
    <t>sangria women black  white printed straight kurta</t>
  </si>
  <si>
    <t>https://www.myntra.com/kurtas/sangria/sangria-women-black--white-printed-straight-kurta/10560802/buy</t>
  </si>
  <si>
    <t>roadster men blue skinny fit mid rise mildly distressed stretchable jeans</t>
  </si>
  <si>
    <t>https://www.myntra.com/jeans/roadster/roadster-men-blue-skinny-fit-mid-rise-mildly-distressed-stretchable-jeans/11274626/buy</t>
  </si>
  <si>
    <t>her by invictus black polka dots pleated top</t>
  </si>
  <si>
    <t>https://www.myntra.com/tops/her-by-invictus/her-by-invictus-black-polka-dots-pleated-top/7645398/buy</t>
  </si>
  <si>
    <t>https://www.myntra.com/tshirts/roadster/roadster-women-pack-of-2-pure-cotton-t-shirts/17381478/buy</t>
  </si>
  <si>
    <t>myshka maroon  golden ethnic motifs printed cotton maxi dress</t>
  </si>
  <si>
    <t>Myshka</t>
  </si>
  <si>
    <t>https://www.myntra.com/dresses/myshka/myshka-maroon--golden-ethnic-motifs-printed-cotton-maxi-dress/11629168/buy</t>
  </si>
  <si>
    <t>anouk women red  black checked straight kurta</t>
  </si>
  <si>
    <t>https://www.myntra.com/kurtas/anouk/anouk-women-red--black-checked-straight-kurta/8621731/buy</t>
  </si>
  <si>
    <t>roadster men navy blue  green checked pure cotton casual sustainable shirt</t>
  </si>
  <si>
    <t>https://www.myntra.com/shirts/roadster/roadster-men-navy-blue--green-checked-pure-cotton-casual-sustainable-shirt/11896050/buy</t>
  </si>
  <si>
    <t>mast  harbour men pack of 3 shoeliners</t>
  </si>
  <si>
    <t>https://www.myntra.com/socks/mast--harbour/mast--harbour-men-pack-of-3-shoeliners/10986404/buy</t>
  </si>
  <si>
    <t>https://www.myntra.com/jeans/roadster/roadster-men-grey-slim-fit-mid-rise-clean-look-stretchable-jeans/9575361/buy</t>
  </si>
  <si>
    <t>roadster women white  black solid a line pure cotton top</t>
  </si>
  <si>
    <t>https://www.myntra.com/tops/roadster/roadster-women-white--black-solid-a-line-pure-cotton-top/11373682/buy</t>
  </si>
  <si>
    <t>80% OFF</t>
  </si>
  <si>
    <t>vishudh women navy blue  pink printed kurta with palazzos</t>
  </si>
  <si>
    <t>https://www.myntra.com/kurta-sets/vishudh/vishudh-women-navy-blue--pink-printed-kurta-with-palazzos/11938226/buy</t>
  </si>
  <si>
    <t>hubberholme white slim fit track pants</t>
  </si>
  <si>
    <t>https://www.myntra.com/track-pants/hubberholme/hubberholme-white-slim-fit-track-pants/1757662/buy</t>
  </si>
  <si>
    <t>ether women navy blue solid bomber</t>
  </si>
  <si>
    <t>https://www.myntra.com/jackets/ether/ether-women-navy-blue-solid-bomber/6697880/buy</t>
  </si>
  <si>
    <t>roadster women blue narrow wide leg high rise clean look stretchable jeans</t>
  </si>
  <si>
    <t>https://www.myntra.com/jeans/roadster/roadster-women-blue-narrow-wide-leg-high-rise-clean-look-stretchable-jeans/13315066/buy</t>
  </si>
  <si>
    <t>roadster women blue skinny fit mid rise clean look stretchable jeans</t>
  </si>
  <si>
    <t>https://www.myntra.com/jeans/roadster/roadster-women-blue-skinny-fit-mid-rise-clean-look-stretchable-jeans/8091637/buy</t>
  </si>
  <si>
    <t>sangria women maroon  golden pure cotton printed kurta with palazzos</t>
  </si>
  <si>
    <t>https://www.myntra.com/kurta-sets/sangria/sangria-women-maroon--golden-pure-cotton-printed-kurta-with-palazzos/13437250/buy</t>
  </si>
  <si>
    <t>varanga women black  white printed straight kurta</t>
  </si>
  <si>
    <t>https://www.myntra.com/kurtas/varanga/varanga-women-black--white-printed-straight-kurta/12488786/buy</t>
  </si>
  <si>
    <t>vishudh women red  gold toned printed straight kurta</t>
  </si>
  <si>
    <t>https://www.myntra.com/kurtas/vishudh/vishudh-women-red--gold-toned-printed-straight-kurta/5597189/buy</t>
  </si>
  <si>
    <t>https://www.myntra.com/tshirts/roadster/roadster-women-pack-of-2-solid-t-shirts/17381454/buy</t>
  </si>
  <si>
    <t>tag 7 women pack of 2 solid ankle length leggings</t>
  </si>
  <si>
    <t>https://www.myntra.com/leggings/tag-7/tag-7-women-pack-of-2-solid-ankle-length-leggings/10662122/buy</t>
  </si>
  <si>
    <t>https://www.myntra.com/tshirts/roadster/roadster-women-pack-of-2-pure-cotton-t-shirts/17381626/buy</t>
  </si>
  <si>
    <t>kook n keech women black printed round neck boxy pure cotton t shirt</t>
  </si>
  <si>
    <t>https://www.myntra.com/tshirts/kook-n-keech/kook-n-keech-women-black-printed-round-neck-boxy-pure-cotton-t-shirt/10926786/buy</t>
  </si>
  <si>
    <t>herenow women blue  white printed straight kurta</t>
  </si>
  <si>
    <t>https://www.myntra.com/kurtas/herenow/herenow-women-blue--white-printed-straight-kurta/13007406/buy</t>
  </si>
  <si>
    <t>yuris women pink  white printed straight kurta</t>
  </si>
  <si>
    <t>https://www.myntra.com/kurtas/yuris/yuris-women-pink--white-printed-straight-kurta/10054361/buy</t>
  </si>
  <si>
    <t>us polo assn men assorted briefs z9i615 615</t>
  </si>
  <si>
    <t>https://www.myntra.com/briefs/us-polo-assn/us-polo-assn-men-assorted-briefs-z9i615-615/10248053/buy</t>
  </si>
  <si>
    <t>tokyo talkies women green solid slim fit track pants</t>
  </si>
  <si>
    <t>https://www.myntra.com/track-pants/tokyo-talkies/tokyo-talkies-women-green-solid-slim-fit-track-pants/14154082/buy</t>
  </si>
  <si>
    <t>roadster women blue skinny fit high rise clean look stretchable cropped jeans</t>
  </si>
  <si>
    <t>https://www.myntra.com/jeans/roadster/roadster-women-blue-skinny-fit-high-rise-clean-look-stretchable-cropped-jeans/6831717/buy</t>
  </si>
  <si>
    <t>kook n keech women black  blue boyfriend fit mid rise colourblocked cropped jeans</t>
  </si>
  <si>
    <t>https://www.myntra.com/jeans/kook-n-keech/kook-n-keech-women-black--blue-boyfriend-fit-mid-rise-colourblocked-cropped-jeans/7255283/buy</t>
  </si>
  <si>
    <t>https://www.myntra.com/tshirts/roadster/roadster-women-pack-of-2-printed-cotton-t-shirt/17385514/buy</t>
  </si>
  <si>
    <t>domyos by decathlon women grey pink solid regular fit organic cotton yoga pants</t>
  </si>
  <si>
    <t>Domyos By Decathlon</t>
  </si>
  <si>
    <t>https://www.myntra.com/lounge-pants/domyos-by-decathlon/domyos-by-decathlon-women-grey-pink-solid-regular-fit-organic-cotton-yoga-pants/12965938/buy</t>
  </si>
  <si>
    <t>anubhutee women navy blue ethnic motifs embroidered thread work kurta with trousers  with dupatta</t>
  </si>
  <si>
    <t>https://www.myntra.com/kurta-sets/anubhutee/anubhutee-women-navy-blue-ethnic-motifs-embroidered-thread-work-kurta-with-trousers--with-dupatta/16331376/buy</t>
  </si>
  <si>
    <t>ahika women maroon  brown printed kurta with trousers  dupatta</t>
  </si>
  <si>
    <t>AHIKA</t>
  </si>
  <si>
    <t>https://www.myntra.com/kurta-sets/ahika/ahika-women-maroon--brown-printed-kurta-with-trousers--dupatta/13415698/buy</t>
  </si>
  <si>
    <t>roadster men grey  navy blue regular fit checked casual shirt</t>
  </si>
  <si>
    <t>https://www.myntra.com/shirts/roadster/roadster-men-grey--navy-blue-regular-fit-checked-casual-shirt/6849362/buy</t>
  </si>
  <si>
    <t>tokyo talkies women black straight fit solid regular trousers</t>
  </si>
  <si>
    <t>https://www.myntra.com/trousers/tokyo-talkies/tokyo-talkies-women-black-straight-fit-solid-regular-trousers/12292256/buy</t>
  </si>
  <si>
    <t>miss chase pink floral printed tie up neck crepe maxi longline top</t>
  </si>
  <si>
    <t>https://www.myntra.com/tops/miss-chase/miss-chase-pink-floral-printed-tie-up-neck-crepe-maxi-longline-top/13916976/buy</t>
  </si>
  <si>
    <t>hrx by hrithik roshan women red solid round neck t shirt</t>
  </si>
  <si>
    <t>https://www.myntra.com/tshirts/hrx-by-hrithik-roshan/hrx-by-hrithik-roshan-women-red-solid-round-neck-t-shirt/7688063/buy</t>
  </si>
  <si>
    <t>indo era women navy blue yoke design kurta with trousers  dupatta</t>
  </si>
  <si>
    <t>https://www.myntra.com/kurta-sets/indo-era/indo-era-women-navy-blue-yoke-design-kurta-with-trousers--dupatta/13250072/buy</t>
  </si>
  <si>
    <t>dressberry women navy blue solid tiered a line dress</t>
  </si>
  <si>
    <t>https://www.myntra.com/dresses/dressberry/dressberry-women-navy-blue-solid-tiered-a-line-dress/11183816/buy</t>
  </si>
  <si>
    <t>roadster men navy blue  red striped pure cotton polo collar applique pure cotton t shirt</t>
  </si>
  <si>
    <t>https://www.myntra.com/tshirts/roadster/roadster-men-navy-blue--red-striped-pure-cotton-polo-collar-applique-pure-cotton-t-shirt/1396021/buy</t>
  </si>
  <si>
    <t>roadster women white solid round neck t shirt</t>
  </si>
  <si>
    <t>https://www.myntra.com/tshirts/roadster/roadster-women-white-solid-round-neck-t-shirt/11398830/buy</t>
  </si>
  <si>
    <t>bewakoof men white solid round neck pure cotton t shirt</t>
  </si>
  <si>
    <t>https://www.myntra.com/tshirts/bewakoof/bewakoof-men-white-solid-round-neck-pure-cotton-t-shirt/13819100/buy</t>
  </si>
  <si>
    <t>hrx by hrithik roshan teal blue active joggers</t>
  </si>
  <si>
    <t>https://www.myntra.com/track-pants/hrx-by-hrithik-roshan/hrx-by-hrithik-roshan-teal-blue-active-joggers/1912701/buy</t>
  </si>
  <si>
    <t>harpa women yellow floral printed round neck top</t>
  </si>
  <si>
    <t>Harpa</t>
  </si>
  <si>
    <t>https://www.myntra.com/tops/harpa/harpa-women-yellow-floral-printed-round-neck-top/13377766/buy</t>
  </si>
  <si>
    <t>her by invictus navy blue  white floral pleated top</t>
  </si>
  <si>
    <t>https://www.myntra.com/tops/her-by-invictus/her-by-invictus-navy-blue--white-floral-pleated-top/11735666/buy</t>
  </si>
  <si>
    <t>mast  harbour men brown slim fit   casual linen cotton sustainable shirt</t>
  </si>
  <si>
    <t>https://www.myntra.com/shirts/mast--harbour/mast--harbour-men-brown-slim-fit---casual-linen-cotton-sustainable-shirt/2444566/buy</t>
  </si>
  <si>
    <t>anouk men navy blue solid straight kurta</t>
  </si>
  <si>
    <t>https://www.myntra.com/kurtas/anouk/anouk-men-navy-blue-solid-straight-kurta/10803222/buy</t>
  </si>
  <si>
    <t>us polo assn men assorted printed pure cotton boxers i657 615 cr l</t>
  </si>
  <si>
    <t>boxers</t>
  </si>
  <si>
    <t>https://www.myntra.com/boxers/us-polo-assn/us-polo-assn-men-assorted-printed-pure-cotton-boxers-i657-615-cr-l/9168503/buy</t>
  </si>
  <si>
    <t>hrx by hrithik roshan men navy solid rapid dry running shorts</t>
  </si>
  <si>
    <t>https://www.myntra.com/shorts/hrx-by-hrithik-roshan/hrx-by-hrithik-roshan-men-navy-solid-rapid-dry-running-shorts/12212310/buy</t>
  </si>
  <si>
    <t>roadster easy shift dress in cotton blend</t>
  </si>
  <si>
    <t>https://www.myntra.com/dresses/roadster/roadster-easy-shift-dress-in-cotton-blend/2368774/buy</t>
  </si>
  <si>
    <t>roadster women navy blue super skinny fit washed treggings</t>
  </si>
  <si>
    <t>https://www.myntra.com/jeggings/roadster/roadster-women-navy-blue-super-skinny-fit-washed-treggings/11489668/buy</t>
  </si>
  <si>
    <t>dollar missy women pack of 6 bikini briefs 201p hrt cam pur po6</t>
  </si>
  <si>
    <t>Dollar Missy</t>
  </si>
  <si>
    <t>https://www.myntra.com/briefs/dollar-missy/dollar-missy-women-pack-of-6-bikini-briefs-201p-hrt-cam-pur-po6/2190882/buy</t>
  </si>
  <si>
    <t>inddus red  golden woven design silk blend saree</t>
  </si>
  <si>
    <t>https://www.myntra.com/sarees/inddus/inddus-red--golden-woven-design-silk-blend-saree/12048344/buy</t>
  </si>
  <si>
    <t>roadster men blue  white striped round neck pure cotton t shirt</t>
  </si>
  <si>
    <t>https://www.myntra.com/tshirts/roadster/roadster-men-blue--white-striped-round-neck-pure-cotton-t-shirt/8829435/buy</t>
  </si>
  <si>
    <t>mast  harbour men multicoloured striped round neck t shirt</t>
  </si>
  <si>
    <t>https://www.myntra.com/tshirts/mast--harbour/mast--harbour-men-multicoloured-striped-round-neck-t-shirt/8301909/buy</t>
  </si>
  <si>
    <t>Rs. 140 OFF</t>
  </si>
  <si>
    <t>xyxx men super combed cotton checkmate lounge pants xypyjm10</t>
  </si>
  <si>
    <t>https://www.myntra.com/lounge-pants/xyxx/xyxx-men-super-combed-cotton-checkmate-lounge-pants-xypyjm10/10852560/buy</t>
  </si>
  <si>
    <t>highlander men grey slim fit trousers</t>
  </si>
  <si>
    <t>https://www.myntra.com/trousers/highlander/highlander-men-grey-slim-fit-trousers/8106703/buy</t>
  </si>
  <si>
    <t>highlander men navy blue tapered fit chinos</t>
  </si>
  <si>
    <t>https://www.myntra.com/trousers/highlander/highlander-men-navy-blue-tapered-fit-chinos/2290042/buy</t>
  </si>
  <si>
    <t>dressberry women burgundy embroidered a line dress</t>
  </si>
  <si>
    <t>https://www.myntra.com/dresses/dressberry/dressberry-women-burgundy-embroidered-a-line-dress/10463770/buy</t>
  </si>
  <si>
    <t>tokyo talkies women navy blue slim fit high rise clean look stretchable jeans</t>
  </si>
  <si>
    <t>https://www.myntra.com/jeans/tokyo-talkies/tokyo-talkies-women-navy-blue-slim-fit-high-rise-clean-look-stretchable-jeans/12876318/buy</t>
  </si>
  <si>
    <t>hrx by hrithik roshan women white printed round neck running pure cotton t shirt</t>
  </si>
  <si>
    <t>https://www.myntra.com/tshirts/hrx-by-hrithik-roshan/hrx-by-hrithik-roshan-women-white-printed-round-neck-running-pure-cotton-t-shirt/11037088/buy</t>
  </si>
  <si>
    <t>dressberry pack of 2 solid non wired lightly padded t shirt bras bp 030</t>
  </si>
  <si>
    <t>https://www.myntra.com/bra/dressberry/dressberry-pack-of-2-solid-non-wired-lightly-padded-t-shirt-bras-bp-030/11883168/buy</t>
  </si>
  <si>
    <t>highlander men white  blue slim fit printed casual shirt</t>
  </si>
  <si>
    <t>https://www.myntra.com/shirts/highlander/highlander-men-white--blue-slim-fit-printed-casual-shirt/14205782/buy</t>
  </si>
  <si>
    <t>highlander men rust red  off white slim fit printed casual shirt</t>
  </si>
  <si>
    <t>https://www.myntra.com/shirts/highlander/highlander-men-rust-red--off-white-slim-fit-printed-casual-shirt/13861878/buy</t>
  </si>
  <si>
    <t>mast  harbour men navy blue skinny fit mid rise low distress stretchable jeans</t>
  </si>
  <si>
    <t>https://www.myntra.com/jeans/mast--harbour/mast--harbour-men-navy-blue-skinny-fit-mid-rise-low-distress-stretchable-jeans/13077152/buy</t>
  </si>
  <si>
    <t>miss chase black self design top</t>
  </si>
  <si>
    <t>https://www.myntra.com/tops/miss-chase/miss-chase-black-self-design-top/8935419/buy</t>
  </si>
  <si>
    <t>janasya women navy blue  peach coloured solid kurti with trousers  dupatta</t>
  </si>
  <si>
    <t>Janasya</t>
  </si>
  <si>
    <t>https://www.myntra.com/kurta-sets/janasya/janasya-women-navy-blue--peach-coloured-solid-kurti-with-trousers--dupatta/8974413/buy</t>
  </si>
  <si>
    <t>vimal men set of 2 black and navy blue solid lounge pants</t>
  </si>
  <si>
    <t>https://www.myntra.com/lounge-pants/vimal/vimal-men-set-of-2-black-and-navy-blue-solid-lounge-pants/12708354/buy</t>
  </si>
  <si>
    <t>https://www.myntra.com/tshirts/roadster/roadster-women-pack-of-2-pure-cotton-t-shirts/17381472/buy</t>
  </si>
  <si>
    <t>roadster men blue solid henley neck t shirt</t>
  </si>
  <si>
    <t>https://www.myntra.com/tshirts/roadster/roadster-men-blue-solid-henley-neck-t-shirt/10424670/buy</t>
  </si>
  <si>
    <t>roadster men white solid polo collar t shirt</t>
  </si>
  <si>
    <t>https://www.myntra.com/tshirts/roadster/roadster-men-white-solid-polo-collar-t-shirt/2303707/buy</t>
  </si>
  <si>
    <t>urban scottish men pack of 2 printed pure cotton boxers re usbx1805</t>
  </si>
  <si>
    <t>URBAN SCOTTISH</t>
  </si>
  <si>
    <t>https://www.myntra.com/boxers/urban-scottish/urban-scottish-men-pack-of-2-printed-pure-cotton-boxers-re-usbx1805/12446096/buy</t>
  </si>
  <si>
    <t>hangup men black solid pathani kurta</t>
  </si>
  <si>
    <t>Hangup</t>
  </si>
  <si>
    <t>https://www.myntra.com/kurtas/hangup/hangup-men-black-solid-pathani-kurta/2453736/buy</t>
  </si>
  <si>
    <t>roadster men black sustainable trousers</t>
  </si>
  <si>
    <t>https://www.myntra.com/trousers/roadster/roadster-men-black-sustainable-trousers/11201226/buy</t>
  </si>
  <si>
    <t>roadster women yellow solid top</t>
  </si>
  <si>
    <t>https://www.myntra.com/tops/roadster/roadster-women-yellow-solid-top/8964507/buy</t>
  </si>
  <si>
    <t>tokyo talkies women black solid basic jumpsuit</t>
  </si>
  <si>
    <t>jumpsuit</t>
  </si>
  <si>
    <t>https://www.myntra.com/jumpsuit/tokyo-talkies/tokyo-talkies-women-black-solid-basic-jumpsuit/12033996/buy</t>
  </si>
  <si>
    <t>sangria women red straight fit kurta with gota patti detail</t>
  </si>
  <si>
    <t>https://www.myntra.com/kurtas/sangria/sangria-women-red-straight-fit-kurta-with-gota-patti-detail/9371507/buy</t>
  </si>
  <si>
    <t>inddus mustard yellow  gold toned net embroidered saree</t>
  </si>
  <si>
    <t>https://www.myntra.com/sarees/inddus/inddus-mustard-yellow--gold-toned-net-embroidered-saree/12631330/buy</t>
  </si>
  <si>
    <t>jockey international collection men grey solid trunks ic25</t>
  </si>
  <si>
    <t>https://www.myntra.com/trunk/jockey/jockey-international-collection-men-grey-solid-trunks-ic25/11444888/buy</t>
  </si>
  <si>
    <t>roadster men grey regular fit solid trousers</t>
  </si>
  <si>
    <t>https://www.myntra.com/trousers/roadster/roadster-men-grey-regular-fit-solid-trousers/13859292/buy</t>
  </si>
  <si>
    <t>https://www.myntra.com/jeans/roadster/roadster-men-blue-skinny-fit-mid-rise-clean-look-stretchable-jeans/10064543/buy</t>
  </si>
  <si>
    <t>sassafras red pure cotton fitted crop top</t>
  </si>
  <si>
    <t>https://www.myntra.com/tops/sassafras/sassafras-red-pure-cotton-fitted-crop-top/13843034/buy</t>
  </si>
  <si>
    <t>roadster men olive pure cotton casual shirt</t>
  </si>
  <si>
    <t>https://www.myntra.com/shirts/roadster/roadster-men-olive-pure-cotton-casual-shirt/10275261/buy</t>
  </si>
  <si>
    <t>herenow men blue regular fit printed casual shirt</t>
  </si>
  <si>
    <t>https://www.myntra.com/shirts/herenow/herenow-men-blue-regular-fit-printed-casual-shirt/8943339/buy</t>
  </si>
  <si>
    <t>us polo assn men white solid trunks i660 001</t>
  </si>
  <si>
    <t>https://www.myntra.com/trunk/us-polo-assn/us-polo-assn-men-white-solid-trunks-i660-001/9168717/buy</t>
  </si>
  <si>
    <t>23% OFF</t>
  </si>
  <si>
    <t>highlander men olive green slim fit chinos</t>
  </si>
  <si>
    <t>https://www.myntra.com/trousers/highlander/highlander-men-olive-green-slim-fit-chinos/1979350/buy</t>
  </si>
  <si>
    <t>hrx by hrithik roshan women moonlit ocean solid regular fit rapid dry running shorts</t>
  </si>
  <si>
    <t>https://www.myntra.com/shorts/hrx-by-hrithik-roshan/hrx-by-hrithik-roshan-women-moonlit-ocean-solid-regular-fit-rapid-dry-running-shorts/11357430/buy</t>
  </si>
  <si>
    <t>anouk women mustard  turquoise blue printed kurta with trousers</t>
  </si>
  <si>
    <t>https://www.myntra.com/kurta-sets/anouk/anouk-women-mustard--turquoise-blue-printed-kurta-with-trousers/6611361/buy</t>
  </si>
  <si>
    <t>roadster men blue super skinny fit mid rise mildly distressed stretchable jeans</t>
  </si>
  <si>
    <t>https://www.myntra.com/jeans/roadster/roadster-men-blue-super-skinny-fit-mid-rise-mildly-distressed-stretchable-jeans/10064565/buy</t>
  </si>
  <si>
    <t>mast  harbour women yellow solid top</t>
  </si>
  <si>
    <t>https://www.myntra.com/tops/mast--harbour/mast--harbour-women-yellow-solid-top/8325255/buy</t>
  </si>
  <si>
    <t>ether women blue washed denim pure cotton joggers</t>
  </si>
  <si>
    <t>https://www.myntra.com/trousers/ether/ether-women-blue-washed-denim-pure-cotton-joggers/1741886/buy</t>
  </si>
  <si>
    <t>jockey simple comfort women pack of 3 bikini briefs 1410</t>
  </si>
  <si>
    <t>https://www.myntra.com/briefs/jockey/jockey-simple-comfort-women-pack-of-3-bikini-briefs-1410/15034244/buy</t>
  </si>
  <si>
    <t>wrogn men charcoal grey printed v neck slim fit pure cotton t shirt</t>
  </si>
  <si>
    <t>https://www.myntra.com/tshirts/wrogn/wrogn-men-charcoal-grey-printed-v-neck-slim-fit-pure-cotton-t-shirt/8426381/buy</t>
  </si>
  <si>
    <t>roadster men charcoal grey regular fit printed sustainable casual shirt</t>
  </si>
  <si>
    <t>https://www.myntra.com/shirts/roadster/roadster-men-charcoal-grey-regular-fit-printed-sustainable-casual-shirt/2248879/buy</t>
  </si>
  <si>
    <t>17% OFF</t>
  </si>
  <si>
    <t>berrylush white floral printed fit and flare dress</t>
  </si>
  <si>
    <t>https://www.myntra.com/dresses/berrylush/berrylush-white-floral-printed-fit-and-flare-dress/11109396/buy</t>
  </si>
  <si>
    <t>mast  harbour women mustard yellow pack of 2 typography printed t shirt</t>
  </si>
  <si>
    <t>https://www.myntra.com/tshirts/mast--harbour/mast--harbour-women-mustard-yellow-pack-of-2-typography-printed-t-shirt/17523596/buy</t>
  </si>
  <si>
    <t>anouk women turquoise blue solid a line kurta</t>
  </si>
  <si>
    <t>https://www.myntra.com/kurtas/anouk/anouk-women-turquoise-blue-solid-a-line-kurta/9200201/buy</t>
  </si>
  <si>
    <t>wrogn men brown solid biker jacket</t>
  </si>
  <si>
    <t>https://www.myntra.com/jackets/wrogn/wrogn-men-brown-solid-biker-jacket/6832181/buy</t>
  </si>
  <si>
    <t>mast  harbour men peach coloured slim fit printed casual shirt</t>
  </si>
  <si>
    <t>https://www.myntra.com/shirts/mast--harbour/mast--harbour-men-peach-coloured-slim-fit-printed-casual-shirt/8714027/buy</t>
  </si>
  <si>
    <t>mast  harbour men pack of 3 above ankle length socks</t>
  </si>
  <si>
    <t>https://www.myntra.com/socks/mast--harbour/mast--harbour-men-pack-of-3-above-ankle-length-socks/10986390/buy</t>
  </si>
  <si>
    <t>roadster women pack of 2 printed t shirt</t>
  </si>
  <si>
    <t>https://www.myntra.com/tshirts/roadster/roadster-women-pack-of-2-printed-t-shirt/17381768/buy</t>
  </si>
  <si>
    <t>tokyo talkies women black skinny fit mid rise clean look jeans</t>
  </si>
  <si>
    <t>https://www.myntra.com/jeans/tokyo-talkies/tokyo-talkies-women-black-skinny-fit-mid-rise-clean-look-jeans/10641868/buy</t>
  </si>
  <si>
    <t>sangria women white  peach coloured ethnic motifs printed pure cotton straight kurta</t>
  </si>
  <si>
    <t>https://www.myntra.com/kurtas/sangria/sangria-women-white--peach-coloured-ethnic-motifs-printed-pure-cotton-straight-kurta/13437322/buy</t>
  </si>
  <si>
    <t>sangria women red printed straight kurta</t>
  </si>
  <si>
    <t>https://www.myntra.com/kurtas/sangria/sangria-women-red-printed-straight-kurta/9371627/buy</t>
  </si>
  <si>
    <t>ishin women pink  white bandhani printed kurta with trousers</t>
  </si>
  <si>
    <t>https://www.myntra.com/kurta-sets/ishin/ishin-women-pink--white-bandhani-printed-kurta-with-trousers/12509638/buy</t>
  </si>
  <si>
    <t>mast  harbour women off white printed round neck t shirt</t>
  </si>
  <si>
    <t>https://www.myntra.com/tshirts/mast--harbour/mast--harbour-women-off-white-printed-round-neck-t-shirt/8325439/buy</t>
  </si>
  <si>
    <t>campus sutra women maroon solid puffer jacket</t>
  </si>
  <si>
    <t>https://www.myntra.com/jackets/campus-sutra/campus-sutra-women-maroon-solid-puffer-jacket/12181796/buy</t>
  </si>
  <si>
    <t>rare women brown parallel trousers</t>
  </si>
  <si>
    <t>https://www.myntra.com/trousers/rare/rare-women-brown-parallel-trousers/10463330/buy</t>
  </si>
  <si>
    <t>moda rapido women pink printed round neck pure cotton t shirt</t>
  </si>
  <si>
    <t>https://www.myntra.com/tshirts/moda-rapido/moda-rapido-women-pink-printed-round-neck-pure-cotton-t-shirt/9705197/buy</t>
  </si>
  <si>
    <t>roadster men black  grey regular fit checked sustainable casual shirt</t>
  </si>
  <si>
    <t>https://www.myntra.com/shirts/roadster/roadster-men-black--grey-regular-fit-checked-sustainable-casual-shirt/10397849/buy</t>
  </si>
  <si>
    <t>43% OFF</t>
  </si>
  <si>
    <t>highlander men beige  white slim fit striped casual shirt</t>
  </si>
  <si>
    <t>https://www.myntra.com/shirts/highlander/highlander-men-beige--white-slim-fit-striped-casual-shirt/11044440/buy</t>
  </si>
  <si>
    <t>hrx by hrithik roshan men grey self design round neck active t shirt</t>
  </si>
  <si>
    <t>https://www.myntra.com/tshirts/hrx-by-hrithik-roshan/hrx-by-hrithik-roshan-men-grey-self-design-round-neck-active-t-shirt/1987411/buy</t>
  </si>
  <si>
    <t>hrx by hrithik roshan black joggers</t>
  </si>
  <si>
    <t>https://www.myntra.com/track-pants/hrx-by-hrithik-roshan/hrx-by-hrithik-roshan-black-joggers/1866650/buy</t>
  </si>
  <si>
    <t>roadster women olive green brand logo printed round neck pure cotton t shirt</t>
  </si>
  <si>
    <t>https://www.myntra.com/tshirts/roadster/roadster-women-olive-green-brand-logo-printed-round-neck-pure-cotton-t-shirt/11404294/buy</t>
  </si>
  <si>
    <t>mast  harbour men navy blue skinny fit mid rise clean look stretchable jeans</t>
  </si>
  <si>
    <t>https://www.myntra.com/jeans/mast--harbour/mast--harbour-men-navy-blue-skinny-fit-mid-rise-clean-look-stretchable-jeans/7255260/buy</t>
  </si>
  <si>
    <t>cottinfab women burgundy solid basic jumpsuit</t>
  </si>
  <si>
    <t>Cottinfab</t>
  </si>
  <si>
    <t>https://www.myntra.com/jumpsuit/cottinfab/cottinfab-women-burgundy-solid-basic-jumpsuit/10961164/buy</t>
  </si>
  <si>
    <t>harvard blue casual denim shirt</t>
  </si>
  <si>
    <t>https://www.myntra.com/shirts/harvard/harvard-blue-casual-denim-shirt/1718905/buy</t>
  </si>
  <si>
    <t>kalini peach coloured  blue polycotton baluchari saree</t>
  </si>
  <si>
    <t>https://www.myntra.com/sarees/kalini/kalini-peach-coloured--blue-polycotton-baluchari-saree/14675114/buy</t>
  </si>
  <si>
    <t>sangria women blue  white printed straight kurta</t>
  </si>
  <si>
    <t>https://www.myntra.com/kurtas/sangria/sangria-women-blue--white-printed-straight-kurta/11173950/buy</t>
  </si>
  <si>
    <t>roadster men navy  maroon striped henley t shirt</t>
  </si>
  <si>
    <t>https://www.myntra.com/tshirts/roadster/roadster-men-navy--maroon-striped-henley-t-shirt/2388302/buy</t>
  </si>
  <si>
    <t>hm men white relaxed fit hoodie</t>
  </si>
  <si>
    <t>https://www.myntra.com/sweatshirts/hm/hm-men-white-relaxed-fit-hoodie/15193768/buy</t>
  </si>
  <si>
    <t>highlander men brown slim fit solid chinos</t>
  </si>
  <si>
    <t>https://www.myntra.com/trousers/highlander/highlander-men-brown-slim-fit-solid-chinos/5125962/buy</t>
  </si>
  <si>
    <t>roadster men black regular fit low rise mildly distressed stretchable jeans</t>
  </si>
  <si>
    <t>https://www.myntra.com/jeans/roadster/roadster-men-black-regular-fit-low-rise-mildly-distressed-stretchable-jeans/8903777/buy</t>
  </si>
  <si>
    <t>athena mauve self design sheath dress</t>
  </si>
  <si>
    <t>https://www.myntra.com/dresses/athena/athena-mauve-self-design-sheath-dress/13709578/buy</t>
  </si>
  <si>
    <t>tokyo talkies women checked grey shirt dress</t>
  </si>
  <si>
    <t>https://www.myntra.com/dresses/tokyo-talkies/tokyo-talkies-women-checked-grey-shirt-dress/10845288/buy</t>
  </si>
  <si>
    <t>ether women black skinny fit low rise clean look jeans</t>
  </si>
  <si>
    <t>https://www.myntra.com/jeans/ether/ether-women-black-skinny-fit-low-rise-clean-look-jeans/1802098/buy</t>
  </si>
  <si>
    <t>mayra women black solid button shrug</t>
  </si>
  <si>
    <t>https://www.myntra.com/shrug/mayra/mayra-women-black-solid-button-shrug/11012510/buy</t>
  </si>
  <si>
    <t>highlander men black tapered fit jeans</t>
  </si>
  <si>
    <t>https://www.myntra.com/jeans/highlander/highlander-men-black-tapered-fit-jeans/15228444/buy</t>
  </si>
  <si>
    <t>highlander men black solid slim fit track pants</t>
  </si>
  <si>
    <t>https://www.myntra.com/track-pants/highlander/highlander-men-black-solid-slim-fit-track-pants/14014788/buy</t>
  </si>
  <si>
    <t>tokyo talkies women black printed blouson top</t>
  </si>
  <si>
    <t>https://www.myntra.com/tops/tokyo-talkies/tokyo-talkies-women-black-printed-blouson-top/13453596/buy</t>
  </si>
  <si>
    <t>kook n keech women black printed round neck t shirt</t>
  </si>
  <si>
    <t>https://www.myntra.com/tshirts/kook-n-keech/kook-n-keech-women-black-printed-round-neck-t-shirt/2414666/buy</t>
  </si>
  <si>
    <t>dressberry women pretty pink floral bell sleeves dress</t>
  </si>
  <si>
    <t>https://www.myntra.com/dresses/dressberry/dressberry-women-pretty-pink-floral-bell-sleeves-dress/2521064/buy</t>
  </si>
  <si>
    <t>the roadster lifestyle co men olive green solid hooded tailored jacket with detachable hood</t>
  </si>
  <si>
    <t>https://www.myntra.com/jackets/roadster/the-roadster-lifestyle-co-men-olive-green-solid-hooded-tailored-jacket-with-detachable-hood/10617882/buy</t>
  </si>
  <si>
    <t>dolce crudo women black skinny fit high rise clean look stretchable cropped jeans</t>
  </si>
  <si>
    <t>DOLCE CRUDO</t>
  </si>
  <si>
    <t>https://www.myntra.com/jeans/dolce-crudo/dolce-crudo-women-black-skinny-fit-high-rise-clean-look-stretchable-cropped-jeans/10728896/buy</t>
  </si>
  <si>
    <t>uf black  pink floral print maxi dress</t>
  </si>
  <si>
    <t>https://www.myntra.com/dresses/uf/uf-black--pink-floral-print-maxi-dress/12762116/buy</t>
  </si>
  <si>
    <t>kipek women teal blue  golden printed anarkali kurta with dupatta</t>
  </si>
  <si>
    <t>kipek</t>
  </si>
  <si>
    <t>https://www.myntra.com/kurtas/kipek/kipek-women-teal-blue--golden-printed-anarkali-kurta-with-dupatta/12015554/buy</t>
  </si>
  <si>
    <t>us polo assn men pack of 2 black solid briefs y9i006 002 p2</t>
  </si>
  <si>
    <t>https://www.myntra.com/briefs/us-polo-assn/us-polo-assn-men-pack-of-2-black-solid-briefs-y9i006-002-p2/11354536/buy</t>
  </si>
  <si>
    <t>roadster women rust brown solid round neck pure cotton t shirt</t>
  </si>
  <si>
    <t>https://www.myntra.com/tshirts/roadster/roadster-women-rust-brown-solid-round-neck-pure-cotton-t-shirt/10778646/buy</t>
  </si>
  <si>
    <t>hrx active by hrithik roshan women charcoal grey solid three fourth length training tights</t>
  </si>
  <si>
    <t>https://www.myntra.com/tights/hrx-by-hrithik-roshan/hrx-active-by-hrithik-roshan-women-charcoal-grey-solid-three-fourth-length-training-tights/5842092/buy</t>
  </si>
  <si>
    <t>roadster men white solid slub effect raw edge v neck pure cotton t shirt</t>
  </si>
  <si>
    <t>https://www.myntra.com/tshirts/roadster/roadster-men-white-solid-slub-effect-raw-edge-v-neck-pure-cotton-t-shirt/2306179/buy</t>
  </si>
  <si>
    <t>domyos by decathlon men khaki straight cut fitness jacket</t>
  </si>
  <si>
    <t>https://www.myntra.com/jackets/domyos-by-decathlon/domyos-by-decathlon-men-khaki-straight-cut-fitness-jacket/14180702/buy</t>
  </si>
  <si>
    <t>sera blue  peach coloured printed playsuit</t>
  </si>
  <si>
    <t>https://www.myntra.com/jumpsuit/sera/sera-blue--peach-coloured-printed-playsuit/3452046/buy</t>
  </si>
  <si>
    <t>c9 airwear women pack of 3 solid bikini briefs p1174</t>
  </si>
  <si>
    <t>https://www.myntra.com/briefs/c9-airwear/c9-airwear-women-pack-of-3-solid-bikini-briefs-p1174/13038032/buy</t>
  </si>
  <si>
    <t>roadster men blue printed round neck t shirt</t>
  </si>
  <si>
    <t>https://www.myntra.com/tshirts/roadster/roadster-men-blue-printed-round-neck-t-shirt/2308268/buy</t>
  </si>
  <si>
    <t>https://www.myntra.com/tshirts/roadster/the-roadster-lifestyle-co-women-pink-solid-round-neck-pure-cotton-t-shirt/9740129/buy</t>
  </si>
  <si>
    <t>mayra women pink candy striped maxi dress</t>
  </si>
  <si>
    <t>https://www.myntra.com/dresses/mayra/mayra-women-pink-candy-striped-maxi-dress/11011466/buy</t>
  </si>
  <si>
    <t>roadster men pink melange solid round neck t shirt</t>
  </si>
  <si>
    <t>https://www.myntra.com/tshirts/roadster/roadster-men-pink-melange-solid-round-neck-t-shirt/1996724/buy</t>
  </si>
  <si>
    <t>roadster men navy blue  black solid reversible bomber jacket</t>
  </si>
  <si>
    <t>https://www.myntra.com/jackets/roadster/roadster-men-navy-blue--black-solid-reversible-bomber-jacket/10679170/buy</t>
  </si>
  <si>
    <t>ether women pack of 2 pure cotton t shirts</t>
  </si>
  <si>
    <t>https://www.myntra.com/tshirts/ether/ether-women-pack-of-2-pure-cotton-t-shirts/11431386/buy</t>
  </si>
  <si>
    <t>floret pink pack of 2 full coverage minimizer bras t3033</t>
  </si>
  <si>
    <t>https://www.myntra.com/bra/floret/floret-pink-pack-of-2-full-coverage-minimizer-bras-t3033/1908862/buy</t>
  </si>
  <si>
    <t>roadster men maroon  navy blue regular fit checked sustainable casual shirt</t>
  </si>
  <si>
    <t>https://www.myntra.com/shirts/roadster/roadster-men-maroon--navy-blue-regular-fit-checked-sustainable-casual-shirt/11326694/buy</t>
  </si>
  <si>
    <t>tokyo talkies navy blue  white vertical striped top</t>
  </si>
  <si>
    <t>https://www.myntra.com/tops/tokyo-talkies/tokyo-talkies-navy-blue--white-vertical-striped-top/12009564/buy</t>
  </si>
  <si>
    <t>mast  harbour women navy blue  silver printed round neck t shirt</t>
  </si>
  <si>
    <t>https://www.myntra.com/tshirts/mast--harbour/mast--harbour-women-navy-blue--silver-printed-round-neck-t-shirt/11711888/buy</t>
  </si>
  <si>
    <t>street 9 women blue solid satin bomber jacket</t>
  </si>
  <si>
    <t>https://www.myntra.com/jackets/street-9/street-9-women-blue-solid-satin-bomber-jacket/7772555/buy</t>
  </si>
  <si>
    <t>https://www.myntra.com/jeans/roadster/roadster-women-blue-skinny-fit-mid-rise-clean-look-stretchable-cropped-jeans/11541504/buy</t>
  </si>
  <si>
    <t>dollar missy women pack of 6 briefs 101p multi po6</t>
  </si>
  <si>
    <t>https://www.myntra.com/briefs/dollar-missy/dollar-missy-women-pack-of-6-briefs-101p-multi-po6/2190876/buy</t>
  </si>
  <si>
    <t>levis men navy solid pure cotton  trunks 001 boxer brief</t>
  </si>
  <si>
    <t>https://www.myntra.com/trunk/levis/levis-men-navy-solid-pure-cotton--trunks-001-boxer-brief/12032616/buy</t>
  </si>
  <si>
    <t>roadster women blue solid denim jacket</t>
  </si>
  <si>
    <t>https://www.myntra.com/jackets/roadster/roadster-women-blue-solid-denim-jacket/12178112/buy</t>
  </si>
  <si>
    <t>tokyo talkies women black  white checked basic jumpsuit with belt</t>
  </si>
  <si>
    <t>https://www.myntra.com/jumpsuit/tokyo-talkies/tokyo-talkies-women-black--white-checked-basic-jumpsuit-with-belt/10051297/buy</t>
  </si>
  <si>
    <t>roadster women green  teal blue pack of 2 printed round neck t shirts</t>
  </si>
  <si>
    <t>https://www.myntra.com/tshirts/roadster/roadster-women-green--teal-blue-pack-of-2-printed-round-neck-t-shirts/17383352/buy</t>
  </si>
  <si>
    <t>all about you women mustard stretchable casual shirt</t>
  </si>
  <si>
    <t>https://www.myntra.com/shirts/all-about-you/all-about-you-women-mustard-stretchable-casual-shirt/13205026/buy</t>
  </si>
  <si>
    <t>herenow white lightweight a line pure cotton top with gathers</t>
  </si>
  <si>
    <t>https://www.myntra.com/tops/herenow/herenow-white-lightweight-a-line-pure-cotton-top-with-gathers/2077137/buy</t>
  </si>
  <si>
    <t>saree mall women pink solid saree</t>
  </si>
  <si>
    <t>https://www.myntra.com/sarees/saree-mall/saree-mall-women-pink-solid-saree/9753225/buy</t>
  </si>
  <si>
    <t>S, M, L, XL, XXL, 3XL, 4XL, 5XL</t>
  </si>
  <si>
    <t>69% OFF</t>
  </si>
  <si>
    <t>chkokko men black solid high neck t shirt</t>
  </si>
  <si>
    <t>Chkokko</t>
  </si>
  <si>
    <t>https://www.myntra.com/tshirts/chkokko/chkokko-men-black-solid-high-neck-t-shirt/10481292/buy</t>
  </si>
  <si>
    <t>tokyo talkies women taupe printed top</t>
  </si>
  <si>
    <t>https://www.myntra.com/tops/tokyo-talkies/tokyo-talkies-women-taupe-printed-top/8195047/buy</t>
  </si>
  <si>
    <t>https://www.myntra.com/jeans/roadster/roadster-women-blue-skinny-fit-mid-rise-clean-look-stretchable-jeans/11541582/buy</t>
  </si>
  <si>
    <t>herenow navy blue floral printed tiered maxi dress</t>
  </si>
  <si>
    <t>https://www.myntra.com/dresses/herenow/herenow-navy-blue-floral-printed-tiered-maxi-dress/8002531/buy</t>
  </si>
  <si>
    <t>sangria women white  blue printed straight kurta</t>
  </si>
  <si>
    <t>https://www.myntra.com/kurtas/sangria/sangria-women-white--blue-printed-straight-kurta/11174384/buy</t>
  </si>
  <si>
    <t>sangria blue ethnic motifs a line pure cotton top</t>
  </si>
  <si>
    <t>https://www.myntra.com/tops/sangria/sangria-blue-ethnic-motifs-a-line-pure-cotton-top/8349519/buy</t>
  </si>
  <si>
    <t>the roadster lifestyle co men mustard yellow printed round neck pure cotton t shirt</t>
  </si>
  <si>
    <t>https://www.myntra.com/tshirts/roadster/the-roadster-lifestyle-co-men-mustard-yellow-printed-round-neck-pure-cotton-t-shirt/10940564/buy</t>
  </si>
  <si>
    <t>mast  harbour men maroon slim fit casual shirt</t>
  </si>
  <si>
    <t>https://www.myntra.com/shirts/mast--harbour/mast--harbour-men-maroon-slim-fit-casual-shirt/10343471/buy</t>
  </si>
  <si>
    <t>mast  harbour men navy blue slim tapered fit mid rise clean look stretchable jeans</t>
  </si>
  <si>
    <t>https://www.myntra.com/jeans/mast--harbour/mast--harbour-men-navy-blue-slim-tapered-fit-mid-rise-clean-look-stretchable-jeans/12983800/buy</t>
  </si>
  <si>
    <t>athena burgundy pleated bardot top</t>
  </si>
  <si>
    <t>https://www.myntra.com/tops/athena/athena-burgundy-pleated-bardot-top/10733250/buy</t>
  </si>
  <si>
    <t>cottinfab black sequinned maxi dress</t>
  </si>
  <si>
    <t>https://www.myntra.com/dresses/cottinfab/cottinfab-black-sequinned-maxi-dress/9149689/buy</t>
  </si>
  <si>
    <t>highlander men sea green slim fit printed casual shirt</t>
  </si>
  <si>
    <t>https://www.myntra.com/shirts/highlander/highlander-men-sea-green-slim-fit-printed-casual-shirt/11964926/buy</t>
  </si>
  <si>
    <t>roadster men blue skinny fit low rise clean look stretchable jeans</t>
  </si>
  <si>
    <t>https://www.myntra.com/jeans/roadster/roadster-men-blue-skinny-fit-low-rise-clean-look-stretchable-jeans/8962443/buy</t>
  </si>
  <si>
    <t>https://www.myntra.com/tshirts/roadster/-roadster-women-pack-of-2-cotton-t-shirts/17381612/buy</t>
  </si>
  <si>
    <t>dolce crudo women navy blue skinny fit high rise clean look stretchable cropped jeans</t>
  </si>
  <si>
    <t>https://www.myntra.com/jeans/dolce-crudo/dolce-crudo-women-navy-blue-skinny-fit-high-rise-clean-look-stretchable-cropped-jeans/10696608/buy</t>
  </si>
  <si>
    <t>campus sutra mint green  white printed shirt dress with side slits</t>
  </si>
  <si>
    <t>https://www.myntra.com/dresses/campus-sutra/campus-sutra-mint-green--white-printed-shirt-dress-with-side-slits/12181732/buy</t>
  </si>
  <si>
    <t>https://www.myntra.com/tshirts/roadster/roadster-women-pack-of-2-pure-cotton-t-shirts/17382176/buy</t>
  </si>
  <si>
    <t>herenow women green solid straight kurta</t>
  </si>
  <si>
    <t>https://www.myntra.com/kurtas/herenow/herenow-women-green-solid-straight-kurta/12050580/buy</t>
  </si>
  <si>
    <t>herenow women magenta solid straight kurta</t>
  </si>
  <si>
    <t>https://www.myntra.com/kurtas/herenow/herenow-women-magenta-solid-straight-kurta/4450322/buy</t>
  </si>
  <si>
    <t>the roadster lifestyle co men black printed detail round neck t shirt</t>
  </si>
  <si>
    <t>https://www.myntra.com/tshirts/roadster/the-roadster-lifestyle-co-men-black-printed-detail-round-neck-t-shirt/10939124/buy</t>
  </si>
  <si>
    <t>tokyo talkies women black skinny fit mid rise slash knee stretchable jeans</t>
  </si>
  <si>
    <t>https://www.myntra.com/jeans/tokyo-talkies/tokyo-talkies-women-black-skinny-fit-mid-rise-slash-knee-stretchable-jeans/9440745/buy</t>
  </si>
  <si>
    <t>clovia women black self design lace boyshorts pn2656p13</t>
  </si>
  <si>
    <t>https://www.myntra.com/briefs/clovia/clovia-women-black-self-design-lace-boyshorts-pn2656p13/6825084/buy</t>
  </si>
  <si>
    <t>vishudh women off white  green floral print a line dress</t>
  </si>
  <si>
    <t>https://www.myntra.com/dresses/vishudh/vishudh-women-off-white--green-floral-print-a-line-dress/10016755/buy</t>
  </si>
  <si>
    <t>herenow women white  green printed a line top</t>
  </si>
  <si>
    <t>https://www.myntra.com/tops/herenow/herenow-women-white--green-printed-a-line-top/2163307/buy</t>
  </si>
  <si>
    <t>ether women white solid high neck pure cotton t shirt</t>
  </si>
  <si>
    <t>https://www.myntra.com/tshirts/ether/ether-women-white-solid-high-neck-pure-cotton-t-shirt/8610407/buy</t>
  </si>
  <si>
    <t>https://www.myntra.com/tops/scorpius/scorpius-women-pack-of-2-crop-tops/9340227/buy</t>
  </si>
  <si>
    <t>dressberry women stunning blue washed fringed shorts</t>
  </si>
  <si>
    <t>https://www.myntra.com/shorts/dressberry/dressberry-women-stunning-blue-washed-fringed-shorts/11264146/buy</t>
  </si>
  <si>
    <t>hrx by hrithik roshan women grey t shirt with raglan sleeves</t>
  </si>
  <si>
    <t>https://www.myntra.com/tshirts/hrx-by-hrithik-roshan/hrx-by-hrithik-roshan-women-grey-t-shirt-with-raglan-sleeves/9038197/buy</t>
  </si>
  <si>
    <t>varanga calm blue and grey yoke design kurta set</t>
  </si>
  <si>
    <t>https://www.myntra.com/kurta-sets/varanga/varanga-calm-blue-and-grey-yoke-design-kurta-set/13769676/buy</t>
  </si>
  <si>
    <t>sangria women green  blue embroidered kurta with trousers</t>
  </si>
  <si>
    <t>https://www.myntra.com/kurta-sets/sangria/sangria-women-green--blue-embroidered-kurta-with-trousers/8349037/buy</t>
  </si>
  <si>
    <t>mast  harbour men blue striped round neck pure cotton t shirt</t>
  </si>
  <si>
    <t>https://www.myntra.com/tshirts/mast--harbour/mast--harbour-men-blue-striped-round-neck-pure-cotton-t-shirt/8301975/buy</t>
  </si>
  <si>
    <t>roadster men navy blue  mustard brown striped detail v neck pure cotton t shirt</t>
  </si>
  <si>
    <t>https://www.myntra.com/tshirts/roadster/roadster-men-navy-blue--mustard-brown-striped-detail-v-neck-pure-cotton-t-shirt/9329675/buy</t>
  </si>
  <si>
    <t>roadster men white skinny fit mid rise clean look stretchable jeans</t>
  </si>
  <si>
    <t>https://www.myntra.com/jeans/roadster/roadster-men-white-skinny-fit-mid-rise-clean-look-stretchable-jeans/2315624/buy</t>
  </si>
  <si>
    <t>purple feather women blue skinny fit high rise clean look jeans</t>
  </si>
  <si>
    <t>Purple Feather</t>
  </si>
  <si>
    <t>https://www.myntra.com/jeans/purple-feather/purple-feather-women-blue-skinny-fit-high-rise-clean-look-jeans/6722273/buy</t>
  </si>
  <si>
    <t>https://www.myntra.com/tshirts/roadster/roadster-women-pack-of-2-solid-pure-cotton-t-shirts/17381526/buy</t>
  </si>
  <si>
    <t>mast  harbour men peach coloured solid round neck t shirt</t>
  </si>
  <si>
    <t>https://www.myntra.com/tshirts/mast--harbour/mast--harbour-men-peach-coloured-solid-round-neck-t-shirt/3082389/buy</t>
  </si>
  <si>
    <t>highlander men charcoal grey slim fit solid henley neck t shirt</t>
  </si>
  <si>
    <t>https://www.myntra.com/tshirts/highlander/highlander-men-charcoal-grey-slim-fit-solid-henley-neck-t-shirt/1923230/buy</t>
  </si>
  <si>
    <t>herenow women black  red striped high neck t shirt</t>
  </si>
  <si>
    <t>https://www.myntra.com/tshirts/herenow/herenow-women-black--red-striped-high-neck-t-shirt/11759370/buy</t>
  </si>
  <si>
    <t>anouk women mustard yellow  pink printed kurta with trousers</t>
  </si>
  <si>
    <t>https://www.myntra.com/kurta-sets/anouk/anouk-women-mustard-yellow--pink-printed-kurta-with-trousers/12134814/buy</t>
  </si>
  <si>
    <t>sangria rust red ethnic motifs flared a line pure cotton top</t>
  </si>
  <si>
    <t>https://www.myntra.com/tops/sangria/sangria-rust-red-ethnic-motifs-flared-a-line-pure-cotton-top/8349547/buy</t>
  </si>
  <si>
    <t>tokyo talkies women white super skinny fit mid rise clean look stretchable jeans</t>
  </si>
  <si>
    <t>https://www.myntra.com/jeans/tokyo-talkies/tokyo-talkies-women-white-super-skinny-fit-mid-rise-clean-look-stretchable-jeans/8195049/buy</t>
  </si>
  <si>
    <t>herenow women blue skinny fit high rise clean look stretchable cropped jeans</t>
  </si>
  <si>
    <t>https://www.myntra.com/jeans/herenow/herenow-women-blue-skinny-fit-high-rise-clean-look-stretchable-cropped-jeans/12545646/buy</t>
  </si>
  <si>
    <t>roadster fast and furious men blue slim fit mid rise clean look stretchable jeans</t>
  </si>
  <si>
    <t>Roadster Fast and Furious</t>
  </si>
  <si>
    <t>https://www.myntra.com/jeans/roadster-fast-and-furious/roadster-fast-and-furious-men-blue-slim-fit-mid-rise-clean-look-stretchable-jeans/4451362/buy</t>
  </si>
  <si>
    <t>wrogn men olive green joggers</t>
  </si>
  <si>
    <t>https://www.myntra.com/trousers/wrogn/wrogn-men-olive-green-joggers/2339796/buy</t>
  </si>
  <si>
    <t>sassafras off white  green floral printed a line dress</t>
  </si>
  <si>
    <t>https://www.myntra.com/dresses/sassafras/sassafras-off-white--green-floral-printed-a-line-dress/8643125/buy</t>
  </si>
  <si>
    <t>https://www.myntra.com/tshirts/roadster/roadster-women-pack-of-2-printed-cotton-t-shirt/17385112/buy</t>
  </si>
  <si>
    <t>roadster women mustard yellow solid round neck pure cotton t shirt with sleeve stripes</t>
  </si>
  <si>
    <t>https://www.myntra.com/tshirts/roadster/roadster-women-mustard-yellow-solid-round-neck-pure-cotton-t-shirt-with-sleeve-stripes/11976820/buy</t>
  </si>
  <si>
    <t>la zoire rose shirt style top</t>
  </si>
  <si>
    <t>https://www.myntra.com/tops/la-zoire/la-zoire-rose-shirt-style-top/7269182/buy</t>
  </si>
  <si>
    <t>herenow women teal blue  white printed a line kurta</t>
  </si>
  <si>
    <t>https://www.myntra.com/kurtas/herenow/herenow-women-teal-blue--white-printed-a-line-kurta/7119163/buy</t>
  </si>
  <si>
    <t>herenow women pack of 2 solid round neck pure cotton t shirts</t>
  </si>
  <si>
    <t>https://www.myntra.com/tshirts/herenow/herenow-women-pack-of-2-solid-round-neck-pure-cotton-t-shirts/9435685/buy</t>
  </si>
  <si>
    <t>clovia women grey melange solid lounge pants</t>
  </si>
  <si>
    <t>https://www.myntra.com/lounge-pants/clovia/clovia-women-grey-melange-solid-lounge-pants/9299469/buy</t>
  </si>
  <si>
    <t>etc women navy blue  pink floral print night suit</t>
  </si>
  <si>
    <t>https://www.myntra.com/night-suits/etc/etc-women-navy-blue--pink-floral-print-night-suit/12441728/buy</t>
  </si>
  <si>
    <t>roadster men sea green solid polo collar t shirt</t>
  </si>
  <si>
    <t>https://www.myntra.com/tshirts/roadster/roadster-men-sea-green-solid-polo-collar-t-shirt/12123128/buy</t>
  </si>
  <si>
    <t>mast  harbour men blue slim fit  casual linen cotton sustainable shirt</t>
  </si>
  <si>
    <t>https://www.myntra.com/shirts/mast--harbour/mast--harbour-men-blue-slim-fit--casual-linen-cotton-sustainable-shirt/2444567/buy</t>
  </si>
  <si>
    <t>dennis lingo men white slim fit casual shirt</t>
  </si>
  <si>
    <t>Dennis Lingo</t>
  </si>
  <si>
    <t>https://www.myntra.com/shirts/dennis-lingo/dennis-lingo-men-white-slim-fit-casual-shirt/14094532/buy</t>
  </si>
  <si>
    <t>herenow women lime green  blue printed straight kurta</t>
  </si>
  <si>
    <t>https://www.myntra.com/kurtas/herenow/herenow-women-lime-green--blue-printed-straight-kurta/12851400/buy</t>
  </si>
  <si>
    <t>roadster men teal blue regular fit solid sustainable casual shirt</t>
  </si>
  <si>
    <t>https://www.myntra.com/shirts/roadster/roadster-men-teal-blue-regular-fit-solid-sustainable-casual-shirt/11895996/buy</t>
  </si>
  <si>
    <t>36, 38, 40, 42, 44</t>
  </si>
  <si>
    <t>jainish men grey classic slim fit solid formal shirt</t>
  </si>
  <si>
    <t>JAINISH</t>
  </si>
  <si>
    <t>https://www.myntra.com/shirts/jainish/jainish-men-grey-classic-slim-fit-solid-formal-shirt/5126313/buy</t>
  </si>
  <si>
    <t>highlander men khaki solid slim fit solid casual shirt</t>
  </si>
  <si>
    <t>https://www.myntra.com/shirts/highlander/highlander-men-khaki-solid-slim-fit-solid-casual-shirt/2041659/buy</t>
  </si>
  <si>
    <t>kook n keech men white  black striped oversized longline pure cotton t shirt</t>
  </si>
  <si>
    <t>https://www.myntra.com/tshirts/kook-n-keech/kook-n-keech-men-white--black-striped-oversized-longline-pure-cotton-t-shirt/2095982/buy</t>
  </si>
  <si>
    <t>wrogn navy slim fit low distressed stretchable jeans</t>
  </si>
  <si>
    <t>https://www.myntra.com/jeans/wrogn/wrogn-navy-slim-fit-low-distressed-stretchable-jeans/1729302/buy</t>
  </si>
  <si>
    <t>la zoire women maroon solid top</t>
  </si>
  <si>
    <t>https://www.myntra.com/tops/la-zoire/la-zoire-women-maroon-solid-top/8861985/buy</t>
  </si>
  <si>
    <t>go colors women silver toned solid skinny fit shimmer ankle length leggings</t>
  </si>
  <si>
    <t>https://www.myntra.com/leggings/go-colors/go-colors-women-silver-toned-solid-skinny-fit-shimmer-ankle-length-leggings/4891840/buy</t>
  </si>
  <si>
    <t>vishudh women mustard yellow printed a line kurta</t>
  </si>
  <si>
    <t>https://www.myntra.com/kurtas/vishudh/vishudh-women-mustard-yellow-printed-a-line-kurta/11897388/buy</t>
  </si>
  <si>
    <t>wrogn men maroon  off white slim fit checked casual shirt</t>
  </si>
  <si>
    <t>https://www.myntra.com/shirts/wrogn/wrogn-men-maroon--off-white-slim-fit-checked-casual-shirt/11361424/buy</t>
  </si>
  <si>
    <t>the roadster lifestyle co men navy blue super skinny fit mid rise mildly distressed stretchable jeans</t>
  </si>
  <si>
    <t>https://www.myntra.com/jeans/roadster/the-roadster-lifestyle-co-men-navy-blue-super-skinny-fit-mid-rise-mildly-distressed-stretchable-jeans/10064539/buy</t>
  </si>
  <si>
    <t>locomotive men black skinny fit mid rise clean look stretchable jeans</t>
  </si>
  <si>
    <t>https://www.myntra.com/jeans/locomotive/locomotive-men-black-skinny-fit-mid-rise-clean-look-stretchable-jeans/9838337/buy</t>
  </si>
  <si>
    <t>the roadster lifestyle co women grey washed super skinny fit mid rise clean look cropped jeggings</t>
  </si>
  <si>
    <t>https://www.myntra.com/jeggings/roadster/the-roadster-lifestyle-co-women-grey-washed-super-skinny-fit-mid-rise-clean-look-cropped-jeggings/10967486/buy</t>
  </si>
  <si>
    <t>mast  harbour women off white striped round neck t shirt</t>
  </si>
  <si>
    <t>https://www.myntra.com/tshirts/mast--harbour/mast--harbour-women-off-white-striped-round-neck-t-shirt/8325391/buy</t>
  </si>
  <si>
    <t>marie claire navy crepe sheer comfort shirt</t>
  </si>
  <si>
    <t>https://www.myntra.com/shirts/marie-claire/marie-claire-navy-crepe-sheer-comfort-shirt/1382567/buy</t>
  </si>
  <si>
    <t>i like me women pink  white printed night suit</t>
  </si>
  <si>
    <t>I like me</t>
  </si>
  <si>
    <t>https://www.myntra.com/night-suits/i-like-me/i-like-me-women-pink--white-printed-night-suit/13152598/buy</t>
  </si>
  <si>
    <t>roadster men teal blue printed round neck pure cotton t shirt</t>
  </si>
  <si>
    <t>https://www.myntra.com/tshirts/roadster/roadster-men-teal-blue-printed-round-neck-pure-cotton-t-shirt/10574802/buy</t>
  </si>
  <si>
    <t>wrogn men olive green henley neck slim fit cotton pure cotton t shirt</t>
  </si>
  <si>
    <t>https://www.myntra.com/tshirts/wrogn/wrogn-men-olive-green-henley-neck-slim-fit-cotton-pure-cotton-t-shirt/6833068/buy</t>
  </si>
  <si>
    <t>https://www.myntra.com/lounge-pants/vimal/vimal-men-pack-of-2-solid-cotton-lounge-pants/13676446/buy</t>
  </si>
  <si>
    <t>herenow men blue slim fit mid rise cropped clean look stretchable jeans</t>
  </si>
  <si>
    <t>https://www.myntra.com/jeans/herenow/herenow-men-blue-slim-fit-mid-rise-cropped-clean-look-stretchable-jeans/2133029/buy</t>
  </si>
  <si>
    <t>mish purple v neck maxi dress</t>
  </si>
  <si>
    <t>MISH</t>
  </si>
  <si>
    <t>https://www.myntra.com/dresses/mish/mish-purple-v-neck-maxi-dress/11425620/buy</t>
  </si>
  <si>
    <t>her by invictus mauve top with pleated detail</t>
  </si>
  <si>
    <t>https://www.myntra.com/tops/her-by-invictus/her-by-invictus-mauve-top-with-pleated-detail/10374655/buy</t>
  </si>
  <si>
    <t>36% OFF</t>
  </si>
  <si>
    <t>lebami women black solid stockings</t>
  </si>
  <si>
    <t>stockings</t>
  </si>
  <si>
    <t>Lebami</t>
  </si>
  <si>
    <t>https://www.myntra.com/stockings/lebami/lebami-women-black-solid-stockings/7739835/buy</t>
  </si>
  <si>
    <t>dressberry black solid non wired non padded everyday bra db wond bra 006b</t>
  </si>
  <si>
    <t>https://www.myntra.com/bra/dressberry/dressberry-black-solid-non-wired-non-padded-everyday-bra-db-wond-bra-006b/10939766/buy</t>
  </si>
  <si>
    <t>saree mall mauve  red organza block print saree</t>
  </si>
  <si>
    <t>https://www.myntra.com/sarees/saree-mall/saree-mall-mauve--red-organza-block-print-saree/13901198/buy</t>
  </si>
  <si>
    <t>mokshi women pink  blue printed cotton anarkali kurta</t>
  </si>
  <si>
    <t>mokshi</t>
  </si>
  <si>
    <t>https://www.myntra.com/kurtas/mokshi/mokshi-women-pink--blue-printed-cotton-anarkali-kurta/13452040/buy</t>
  </si>
  <si>
    <t>sassafras women charcoal grey chambray pure cotton joggers with contrast belt</t>
  </si>
  <si>
    <t>https://www.myntra.com/trousers/sassafras/sassafras-women-charcoal-grey-chambray-pure-cotton-joggers-with-contrast-belt/12222138/buy</t>
  </si>
  <si>
    <t>ether women ice blue wide leg high rise denim with light fade</t>
  </si>
  <si>
    <t>https://www.myntra.com/jeans/ether/ether-women-ice-blue-wide-leg-high-rise-denim-with-light-fade/2325411/buy</t>
  </si>
  <si>
    <t>clora creation women white embroidered straight palazzos</t>
  </si>
  <si>
    <t>Clora Creation</t>
  </si>
  <si>
    <t>https://www.myntra.com/palazzos/clora-creation/clora-creation-women-white-embroidered-straight-palazzos/9791977/buy</t>
  </si>
  <si>
    <t>highlander men olive green slim fit solid joggers</t>
  </si>
  <si>
    <t>https://www.myntra.com/trousers/highlander/highlander-men-olive-green-slim-fit-solid-joggers/5125964/buy</t>
  </si>
  <si>
    <t>the roadster lifestyle co women black solid round neck pure cotton t shirt with printed detailing</t>
  </si>
  <si>
    <t>https://www.myntra.com/tshirts/roadster/the-roadster-lifestyle-co-women-black-solid-round-neck-pure-cotton-t-shirt-with-printed-detailing/10968574/buy</t>
  </si>
  <si>
    <t>the roadster lifestyle co women mustard yellow solid round neck t shirt</t>
  </si>
  <si>
    <t>https://www.myntra.com/tshirts/roadster/the-roadster-lifestyle-co-women-mustard-yellow-solid-round-neck-t-shirt/9697407/buy</t>
  </si>
  <si>
    <t>hrx by hrithik roshan seamless black  grey lightly padded rapid dry sports bra 3376</t>
  </si>
  <si>
    <t>https://www.myntra.com/bra/hrx-by-hrithik-roshan/hrx-by-hrithik-roshan-seamless-black--grey-lightly-padded-rapid-dry-sports-bra-3376/8475729/buy</t>
  </si>
  <si>
    <t>anouk women green  gold toned floral printed straight kurta</t>
  </si>
  <si>
    <t>https://www.myntra.com/kurtas/anouk/anouk-women-green--gold-toned-floral-printed-straight-kurta/10416940/buy</t>
  </si>
  <si>
    <t>hubberholme men solid charcoal grey solid lounge pants</t>
  </si>
  <si>
    <t>https://www.myntra.com/lounge-pants/hubberholme/hubberholme-men-solid-charcoal-grey-solid-lounge-pants/8613927/buy</t>
  </si>
  <si>
    <t>athena nude coloured sheath dress</t>
  </si>
  <si>
    <t>https://www.myntra.com/dresses/athena/athena-nude-coloured-sheath-dress/12956584/buy</t>
  </si>
  <si>
    <t>https://www.myntra.com/tshirts/roadster/-roadster-women-pack-of-2-cotton-t-shirts/17382832/buy</t>
  </si>
  <si>
    <t>kassually black front bow pencil skirt</t>
  </si>
  <si>
    <t>https://www.myntra.com/skirts/kassually/kassually-black-front-bow-pencil-skirt/12670196/buy</t>
  </si>
  <si>
    <t>zivame white self design non wired non padded everyday bra zi0zpctb03awhte</t>
  </si>
  <si>
    <t>https://www.myntra.com/bra/zivame/zivame-white-self-design-non-wired-non-padded-everyday-bra-zi0zpctb03awhte/5678795/buy</t>
  </si>
  <si>
    <t>dressberry peach coloured workout bra medium coverage</t>
  </si>
  <si>
    <t>https://www.myntra.com/bra/dressberry/dressberry-peach-coloured-workout-bra-medium-coverage/13983654/buy</t>
  </si>
  <si>
    <t>wrogn men teal blue slim fit cotton pure cotton t shirt</t>
  </si>
  <si>
    <t>https://www.myntra.com/tshirts/wrogn/wrogn-men-teal-blue-slim-fit-cotton-pure-cotton-t-shirt/9768169/buy</t>
  </si>
  <si>
    <t>roadster women off white solid round neck pure cotton t shirt with piping detail</t>
  </si>
  <si>
    <t>https://www.myntra.com/tshirts/roadster/roadster-women-off-white-solid-round-neck-pure-cotton-t-shirt-with-piping-detail/11296016/buy</t>
  </si>
  <si>
    <t>antheaa magenta tiered maxi dress</t>
  </si>
  <si>
    <t>Antheaa</t>
  </si>
  <si>
    <t>https://www.myntra.com/dresses/antheaa/antheaa-magenta-tiered-maxi-dress/12974208/buy</t>
  </si>
  <si>
    <t>https://www.myntra.com/tshirts/roadster/roadster-women-navy-blue--maroon-pack-of-2-printed-round-neck-regular-fit-t-shirts/17383440/buy</t>
  </si>
  <si>
    <t>harpa pink printed peplum top</t>
  </si>
  <si>
    <t>https://www.myntra.com/tops/harpa/harpa-pink-printed-peplum-top/13532760/buy</t>
  </si>
  <si>
    <t>hrx by hrithik roshan women navy blue yoga seamless solid tights</t>
  </si>
  <si>
    <t>https://www.myntra.com/tights/hrx-by-hrithik-roshan/hrx-by-hrithik-roshan-women-navy-blue-yoga-seamless-solid-tights/10106159/buy</t>
  </si>
  <si>
    <t>hm men grey relaxed fit sweatshirt</t>
  </si>
  <si>
    <t>https://www.myntra.com/sweatshirts/hm/hm-men-grey-relaxed-fit-sweatshirt/16324984/buy</t>
  </si>
  <si>
    <t>dressberry women blue skinny fit mid rise clean look stretchable cropped jeans</t>
  </si>
  <si>
    <t>https://www.myntra.com/jeans/dressberry/dressberry-women-blue-skinny-fit-mid-rise-clean-look-stretchable-cropped-jeans/11293698/buy</t>
  </si>
  <si>
    <t>anubhutee women green  beige embroidered kurta with palazzos</t>
  </si>
  <si>
    <t>https://www.myntra.com/kurta-sets/anubhutee/anubhutee-women-green--beige-embroidered-kurta-with-palazzos/11531248/buy</t>
  </si>
  <si>
    <t>wrogn men navy slim fit printed casual shirt</t>
  </si>
  <si>
    <t>https://www.myntra.com/shirts/wrogn/wrogn-men-navy-slim-fit-printed-casual-shirt/1729348/buy</t>
  </si>
  <si>
    <t>peter england men set of 3 calf length assorted socks</t>
  </si>
  <si>
    <t>Peter England</t>
  </si>
  <si>
    <t>https://www.myntra.com/socks/peter-england/peter-england-men-set-of-3-calf-length-assorted-socks/7224693/buy</t>
  </si>
  <si>
    <t>https://www.myntra.com/jeans/roadster/roadster-men-blue-skinny-fit-mid-rise-mildly-distressed-stretchable-jeans/8788237/buy</t>
  </si>
  <si>
    <t>vishudh women grey  mustard yellow printed a line dress</t>
  </si>
  <si>
    <t>https://www.myntra.com/dresses/vishudh/vishudh-women-grey--mustard-yellow-printed-a-line-dress/11544142/buy</t>
  </si>
  <si>
    <t>anouk women navy blue  beige printed fit and flare dress with pleated detail</t>
  </si>
  <si>
    <t>https://www.myntra.com/dresses/anouk/anouk-women-navy-blue--beige-printed-fit-and-flare-dress-with-pleated-detail/11199262/buy</t>
  </si>
  <si>
    <t>hrx by hrithik roshan women navy solid joggers</t>
  </si>
  <si>
    <t>https://www.myntra.com/track-pants/hrx-by-hrithik-roshan/hrx-by-hrithik-roshan-women-navy-solid-joggers/2332166/buy</t>
  </si>
  <si>
    <t>elevanto women navy blue solid bath robe</t>
  </si>
  <si>
    <t>bath-robe</t>
  </si>
  <si>
    <t>ELEVANTO</t>
  </si>
  <si>
    <t>https://www.myntra.com/bath-robe/elevanto/elevanto-women-navy-blue-solid-bath-robe/11938894/buy</t>
  </si>
  <si>
    <t>31% OFF</t>
  </si>
  <si>
    <t>zivame beige mermaid saree shapewear zi3022core0nude</t>
  </si>
  <si>
    <t>https://www.myntra.com/shapewear/zivame/zivame-beige-mermaid-saree-shapewear-zi3022core0nude/7340681/buy</t>
  </si>
  <si>
    <t>wrogn men black  white placement printed round neck t shirt</t>
  </si>
  <si>
    <t>https://www.myntra.com/tshirts/wrogn/wrogn-men-black--white-placement-printed-round-neck-t-shirt/11363214/buy</t>
  </si>
  <si>
    <t>sera women burgundy  pink printed tailored dress</t>
  </si>
  <si>
    <t>https://www.myntra.com/dresses/sera/sera-women-burgundy--pink-printed-tailored-dress/1829161/buy</t>
  </si>
  <si>
    <t>wrogn men burgundy solid slim fit round neck pure cotton t shirt</t>
  </si>
  <si>
    <t>https://www.myntra.com/tshirts/wrogn/wrogn-men-burgundy-solid-slim-fit-round-neck-pure-cotton-t-shirt/10188591/buy</t>
  </si>
  <si>
    <t>wrogn men maroon printed t shirt</t>
  </si>
  <si>
    <t>https://www.myntra.com/tshirts/wrogn/wrogn-men-maroon-printed-t-shirt/2338881/buy</t>
  </si>
  <si>
    <t>roadster men khaki slim fit solid chinos</t>
  </si>
  <si>
    <t>https://www.myntra.com/trousers/roadster/roadster-men-khaki-slim-fit-solid-chinos/2167359/buy</t>
  </si>
  <si>
    <t>sangria white  black chevron print pure cotton a line dress</t>
  </si>
  <si>
    <t>https://www.myntra.com/dresses/sangria/sangria-white--black-chevron-print-pure-cotton-a-line-dress/13249520/buy</t>
  </si>
  <si>
    <t>anouk women blue  pink floral print a line kurta</t>
  </si>
  <si>
    <t>https://www.myntra.com/kurtas/anouk/anouk-women-blue--pink-floral-print-a-line-kurta/2472860/buy</t>
  </si>
  <si>
    <t>the roadster lifestyle co black top with side stripes</t>
  </si>
  <si>
    <t>https://www.myntra.com/tops/roadster/the-roadster-lifestyle-co-black-top-with-side-stripes/10856446/buy</t>
  </si>
  <si>
    <t>roadster women black  maroon pack of 2 typography print round neck regular fit t shirts</t>
  </si>
  <si>
    <t>https://www.myntra.com/tshirts/roadster/roadster-women-black--maroon-pack-of-2-typography-print-round-neck-regular-fit-t-shirts/17383018/buy</t>
  </si>
  <si>
    <t>https://www.myntra.com/tshirts/roadster/roadster-women-pack-of-2-solid-t-shirts/17381456/buy</t>
  </si>
  <si>
    <t>sangria navy blue tie dye blouson top</t>
  </si>
  <si>
    <t>https://www.myntra.com/tops/sangria/sangria-navy-blue-tie-dye-blouson-top/8860565/buy</t>
  </si>
  <si>
    <t>herenow men red  black cotton printed detail round neck t shirt</t>
  </si>
  <si>
    <t>https://www.myntra.com/tshirts/herenow/herenow-men-red--black-cotton-printed-detail-round-neck-t-shirt/12817380/buy</t>
  </si>
  <si>
    <t>herenow men white solid round neck t shirt</t>
  </si>
  <si>
    <t>https://www.myntra.com/tshirts/herenow/herenow-men-white-solid-round-neck-t-shirt/12816474/buy</t>
  </si>
  <si>
    <t>roadster women olive green solid round neck t shirt</t>
  </si>
  <si>
    <t>https://www.myntra.com/tshirts/roadster/roadster-women-olive-green-solid-round-neck-t-shirt/1753425/buy</t>
  </si>
  <si>
    <t>roadster women black geo printed round neck t shirt</t>
  </si>
  <si>
    <t>https://www.myntra.com/tshirts/roadster/roadster-women-black-geo-printed-round-neck-t-shirt/8353077/buy</t>
  </si>
  <si>
    <t>roadster women blue flared high rise clean look stretchable jeans</t>
  </si>
  <si>
    <t>https://www.myntra.com/jeans/roadster/roadster-women-blue-flared-high-rise-clean-look-stretchable-jeans/11542062/buy</t>
  </si>
  <si>
    <t>kook n keech women black regular fit printed casual shirt</t>
  </si>
  <si>
    <t>https://www.myntra.com/shirts/kook-n-keech/kook-n-keech-women-black-regular-fit-printed-casual-shirt/2371017/buy</t>
  </si>
  <si>
    <t>street 9 women rose cropped cargos</t>
  </si>
  <si>
    <t>https://www.myntra.com/trousers/street-9/street-9-women-rose-cropped-cargos/12277596/buy</t>
  </si>
  <si>
    <t>varanga women yellow  peach coloured floral screen printed gotta patti straight kurta</t>
  </si>
  <si>
    <t>https://www.myntra.com/kurtas/varanga/varanga-women-yellow--peach-coloured-floral-screen-printed-gotta-patti-straight-kurta/15241816/buy</t>
  </si>
  <si>
    <t>hrx by hrithik roshan men black  grey camouflage printed running bomber jacket</t>
  </si>
  <si>
    <t>https://www.myntra.com/jackets/hrx-by-hrithik-roshan/hrx-by-hrithik-roshan-men-black--grey-camouflage-printed-running-bomber-jacket/4453300/buy</t>
  </si>
  <si>
    <t>campus sutra men charcoal grey striped mandarin collar t shirt</t>
  </si>
  <si>
    <t>https://www.myntra.com/tshirts/campus-sutra/campus-sutra-men-charcoal-grey-striped-mandarin-collar-t-shirt/10891012/buy</t>
  </si>
  <si>
    <t>hrx by hrithik roshan women blue printed rapid dry seamless running tights</t>
  </si>
  <si>
    <t>https://www.myntra.com/tights/hrx-by-hrithik-roshan/hrx-by-hrithik-roshan-women-blue-printed-rapid-dry-seamless-running-tights/8475747/buy</t>
  </si>
  <si>
    <t>neu look fashion women black  pink colourblocked gym tights</t>
  </si>
  <si>
    <t>NEU LOOK FASHION</t>
  </si>
  <si>
    <t>https://www.myntra.com/tights/neu-look-fashion/neu-look-fashion-women-black--pink-colourblocked-gym-tights/14225120/buy</t>
  </si>
  <si>
    <t>softrose women pack of 3 boyshorts sh7004bws</t>
  </si>
  <si>
    <t>https://www.myntra.com/briefs/softrose/softrose-women-pack-of-3-boyshorts-sh7004bws/782799/buy</t>
  </si>
  <si>
    <t>claura women yellow  white printed night suit cot 108 yellow lt</t>
  </si>
  <si>
    <t>https://www.myntra.com/night-suits/claura/claura-women-yellow--white-printed-night-suit-cot-108-yellow-lt/7487820/buy</t>
  </si>
  <si>
    <t>anubhutee women pink  white pure cotton bandhani print kurta with trousers</t>
  </si>
  <si>
    <t>https://www.myntra.com/kurta-sets/anubhutee/anubhutee-women-pink--white-pure-cotton-bandhani-print-kurta-with-trousers/13581338/buy</t>
  </si>
  <si>
    <t>anouk women blue  white printed indigo straight kurta</t>
  </si>
  <si>
    <t>https://www.myntra.com/kurtas/anouk/anouk-women-blue--white-printed-indigo-straight-kurta/10960692/buy</t>
  </si>
  <si>
    <t>https://www.myntra.com/kurtas/yuris/yuris-women-pink--white-printed-straight-kurta/10054351/buy</t>
  </si>
  <si>
    <t>dressberry women blue skinny fit mid rise clean look stretchable jeans</t>
  </si>
  <si>
    <t>https://www.myntra.com/jeans/dressberry/dressberry-women-blue-skinny-fit-mid-rise-clean-look-stretchable-jeans/10365147/buy</t>
  </si>
  <si>
    <t>https://www.myntra.com/tshirts/mast--harbour/mast--harbour-women-off-white-printed-round-neck-t-shirt/7140521/buy</t>
  </si>
  <si>
    <t>32B, 32C, 34B, 34C, 34D, 36B, 36C, 36D, 38B, 38C</t>
  </si>
  <si>
    <t>dressberry pink solid non wired non padded everyday bra db soft bra 007c</t>
  </si>
  <si>
    <t>https://www.myntra.com/bra/dressberry/dressberry-pink-solid-non-wired-non-padded-everyday-bra-db-soft-bra-007c/10939758/buy</t>
  </si>
  <si>
    <t>anubhutee women pink  orange screen print a line kurta</t>
  </si>
  <si>
    <t>https://www.myntra.com/kurtas/anubhutee/anubhutee-women-pink--orange-screen-print-a-line-kurta/11535126/buy</t>
  </si>
  <si>
    <t>wrogn men off white  navy striped polo pure cotton t shirt</t>
  </si>
  <si>
    <t>https://www.myntra.com/tshirts/wrogn/wrogn-men-off-white--navy-striped-polo-pure-cotton-t-shirt/2478316/buy</t>
  </si>
  <si>
    <t>moda rapido men black skinny fit mid rise slash knee stretchable jeans</t>
  </si>
  <si>
    <t>https://www.myntra.com/jeans/moda-rapido/moda-rapido-men-black-skinny-fit-mid-rise-slash-knee-stretchable-jeans/2344421/buy</t>
  </si>
  <si>
    <t>tokyo talkies women yellow printed maxi dress</t>
  </si>
  <si>
    <t>https://www.myntra.com/dresses/tokyo-talkies/tokyo-talkies-women-yellow-printed-maxi-dress/6625378/buy</t>
  </si>
  <si>
    <t>https://www.myntra.com/tshirts/roadster/-roadster-women-pack-of-2-cotton-t-shirts/17382690/buy</t>
  </si>
  <si>
    <t>jaipur kurti women grey  black checked straight kurta</t>
  </si>
  <si>
    <t>https://www.myntra.com/kurtas/jaipur-kurti/jaipur-kurti-women-grey--black-checked-straight-kurta/10317827/buy</t>
  </si>
  <si>
    <t>herenow women charcoal grey  golden ethnic motif print straight kurta</t>
  </si>
  <si>
    <t>https://www.myntra.com/kurtas/herenow/herenow-women-charcoal-grey--golden-ethnic-motif-print-straight-kurta/12524810/buy</t>
  </si>
  <si>
    <t>sassafras grey  peach coloured floral printed accordian pleat fit  flare dress</t>
  </si>
  <si>
    <t>https://www.myntra.com/dresses/sassafras/sassafras-grey--peach-coloured-floral-printed-accordian-pleat-fit--flare-dress/11364360/buy</t>
  </si>
  <si>
    <t>dressberry rust orange self design top</t>
  </si>
  <si>
    <t>https://www.myntra.com/tops/dressberry/dressberry-rust-orange-self-design-top/10162419/buy</t>
  </si>
  <si>
    <t>roadster blue washed denim straight skirt</t>
  </si>
  <si>
    <t>https://www.myntra.com/skirts/roadster/roadster-blue-washed-denim-straight-skirt/11489602/buy</t>
  </si>
  <si>
    <t>anouk women navy blue  maroon printed kurti</t>
  </si>
  <si>
    <t>https://www.myntra.com/kurtis/anouk/anouk-women-navy-blue--maroon-printed-kurti/6613296/buy</t>
  </si>
  <si>
    <t>mast  harbour men navy blue  mustard yellow printed round neck t shirt</t>
  </si>
  <si>
    <t>https://www.myntra.com/tshirts/mast--harbour/mast--harbour-men-navy-blue--mustard-yellow-printed-round-neck-t-shirt/12116006/buy</t>
  </si>
  <si>
    <t>herenow men white  green slim fit striped casual shirt</t>
  </si>
  <si>
    <t>https://www.myntra.com/shirts/herenow/herenow-men-white--green-slim-fit-striped-casual-shirt/10316399/buy</t>
  </si>
  <si>
    <t>roadster men navy blue solid polo collar pure cotton t shirt</t>
  </si>
  <si>
    <t>https://www.myntra.com/tshirts/roadster/roadster-men-navy-blue-solid-polo-collar-pure-cotton-t-shirt/2303687/buy</t>
  </si>
  <si>
    <t>hrx by hrithik roshan men black printed rapid dry basketball tank tshirt</t>
  </si>
  <si>
    <t>https://www.myntra.com/tshirts/hrx-by-hrithik-roshan/hrx-by-hrithik-roshan-men-black-printed-rapid-dry-basketball-tank-tshirt/11640010/buy</t>
  </si>
  <si>
    <t>jockey men pack of 2 navy blue solid trunks</t>
  </si>
  <si>
    <t>https://www.myntra.com/trunk/jockey/jockey-men-pack-of-2-navy-blue-solid-trunks/11638588/buy</t>
  </si>
  <si>
    <t>jockey international collection men blue solid trunks ic28</t>
  </si>
  <si>
    <t>https://www.myntra.com/trunk/jockey/jockey-international-collection-men-blue-solid-trunks-ic28/11036420/buy</t>
  </si>
  <si>
    <t>ether women navy blue solid high neck t shirt</t>
  </si>
  <si>
    <t>https://www.myntra.com/tshirts/ether/ether-women-navy-blue-solid-high-neck-t-shirt/11900306/buy</t>
  </si>
  <si>
    <t>herenow women white  pink striped v neck pure cotton t shirt</t>
  </si>
  <si>
    <t>https://www.myntra.com/tshirts/herenow/herenow-women-white--pink-striped-v-neck-pure-cotton-t-shirt/10297291/buy</t>
  </si>
  <si>
    <t>vishudh women turquoise blue  gold toned printed kurti with palazzos</t>
  </si>
  <si>
    <t>https://www.myntra.com/kurta-sets/vishudh/vishudh-women-turquoise-blue--gold-toned-printed-kurti-with-palazzos/9673749/buy</t>
  </si>
  <si>
    <t>moda rapido women white  blue printed straight kurta</t>
  </si>
  <si>
    <t>https://www.myntra.com/kurtas/moda-rapido/moda-rapido-women-white--blue-printed-straight-kurta/2000035/buy</t>
  </si>
  <si>
    <t>roadster men blue pure cotton sustainable casual shirt</t>
  </si>
  <si>
    <t>https://www.myntra.com/shirts/roadster/roadster-men-blue-pure-cotton-sustainable-casual-shirt/11326046/buy</t>
  </si>
  <si>
    <t>roadster men grey printed regular fit casual sustainable shirt</t>
  </si>
  <si>
    <t>https://www.myntra.com/shirts/roadster/roadster-men-grey-printed-regular-fit-casual-sustainable-shirt/10740976/buy</t>
  </si>
  <si>
    <t>wrogn men grey slim fit mid rise clean look jeans</t>
  </si>
  <si>
    <t>https://www.myntra.com/jeans/wrogn/wrogn-men-grey-slim-fit-mid-rise-clean-look-jeans/1700734/buy</t>
  </si>
  <si>
    <t>dressberry women grey melange printed round neck t shirt</t>
  </si>
  <si>
    <t>https://www.myntra.com/tshirts/dressberry/dressberry-women-grey-melange-printed-round-neck-t-shirt/2522852/buy</t>
  </si>
  <si>
    <t>roadster women mustard yellow  black printed round neck t shirt</t>
  </si>
  <si>
    <t>https://www.myntra.com/tshirts/roadster/roadster-women-mustard-yellow--black-printed-round-neck-t-shirt/12193806/buy</t>
  </si>
  <si>
    <t>roadster women blue boyfriend fit high rise clean look stretchable jeans</t>
  </si>
  <si>
    <t>https://www.myntra.com/jeans/roadster/roadster-women-blue-boyfriend-fit-high-rise-clean-look-stretchable-jeans/8801149/buy</t>
  </si>
  <si>
    <t>belle fille maroon polyester fleece hooded sweatshirt</t>
  </si>
  <si>
    <t>Belle Fille</t>
  </si>
  <si>
    <t>https://www.myntra.com/sweatshirts/belle-fille/belle-fille-maroon-polyester-fleece-hooded-sweatshirt/596473/buy</t>
  </si>
  <si>
    <t>hrx by hrithik roshan women navy solid rapid dry training tights</t>
  </si>
  <si>
    <t>https://www.myntra.com/tights/hrx-by-hrithik-roshan/hrx-by-hrithik-roshan-women-navy-solid-rapid-dry-training-tights/7695835/buy</t>
  </si>
  <si>
    <t>tikhi imli yellow embellished poly georgette saree</t>
  </si>
  <si>
    <t>https://www.myntra.com/sarees/tikhi-imli/tikhi-imli-yellow-embellished-poly-georgette-saree/11263958/buy</t>
  </si>
  <si>
    <t>highlander men blue slim fit solid casual shirt</t>
  </si>
  <si>
    <t>https://www.myntra.com/shirts/highlander/highlander-men-blue-slim-fit-solid-casual-shirt/2347572/buy</t>
  </si>
  <si>
    <t>hrx by hrithik roshan men navy blue solid training t shirt</t>
  </si>
  <si>
    <t>https://www.myntra.com/tshirts/hrx-by-hrithik-roshan/hrx-by-hrithik-roshan-men-navy-blue-solid-training-t-shirt/10106025/buy</t>
  </si>
  <si>
    <t>https://www.myntra.com/jeans/roadster/roadster-women-blue-skinny-fit-high-rise-clean-look-stretchable-cropped-jeans/11541522/buy</t>
  </si>
  <si>
    <t>trend arrest women red  white floral printed smocked crop peplum top</t>
  </si>
  <si>
    <t>Trend Arrest</t>
  </si>
  <si>
    <t>https://www.myntra.com/tops/trend-arrest/trend-arrest-women-red--white-floral-printed-smocked-crop-peplum-top/11709228/buy</t>
  </si>
  <si>
    <t>the roadster lifestyle co women orange solid hooded sweatshirt</t>
  </si>
  <si>
    <t>https://www.myntra.com/sweatshirts/roadster/the-roadster-lifestyle-co-women-orange-solid-hooded-sweatshirt/9901951/buy</t>
  </si>
  <si>
    <t>dollar missy women pack of 12 hipster  101s oe po12</t>
  </si>
  <si>
    <t>https://www.myntra.com/briefs/dollar-missy/dollar-missy-women-pack-of-12-hipster--101s-oe-po12/8025483/buy</t>
  </si>
  <si>
    <t>anubhutee women red  off white bandhani print kurta with palazzos</t>
  </si>
  <si>
    <t>https://www.myntra.com/kurta-sets/anubhutee/anubhutee-women-red--off-white-bandhani-print-kurta-with-palazzos/13021502/buy</t>
  </si>
  <si>
    <t>highlander men peach coloured slim fit solid casual shirt</t>
  </si>
  <si>
    <t>https://www.myntra.com/shirts/highlander/highlander-men-peach-coloured-slim-fit-solid-casual-shirt/2888743/buy</t>
  </si>
  <si>
    <t>levis men pack of 2 solid pure cotton  briefs bf 100ca 2pk</t>
  </si>
  <si>
    <t>https://www.myntra.com/briefs/levis/levis-men-pack-of-2-solid-pure-cotton--briefs-bf-100ca-2pk/9262959/buy</t>
  </si>
  <si>
    <t>mast  harbour women pink solid round neck t shirt</t>
  </si>
  <si>
    <t>https://www.myntra.com/tshirts/mast--harbour/mast--harbour-women-pink-solid-round-neck-t-shirt/11711920/buy</t>
  </si>
  <si>
    <t>street 9 women white solid crop jacket</t>
  </si>
  <si>
    <t>https://www.myntra.com/jackets/street-9/street-9-women-white-solid-crop-jacket/7772505/buy</t>
  </si>
  <si>
    <t>sassafras women lavender solid cropped jacket</t>
  </si>
  <si>
    <t>https://www.myntra.com/jackets/sassafras/sassafras-women-lavender-solid-cropped-jacket/12222046/buy</t>
  </si>
  <si>
    <t>her by invictus white shirt style top</t>
  </si>
  <si>
    <t>https://www.myntra.com/tops/her-by-invictus/her-by-invictus-white-shirt-style-top/9240973/buy</t>
  </si>
  <si>
    <t>herenow black ethnic motifs a line top</t>
  </si>
  <si>
    <t>https://www.myntra.com/tops/herenow/herenow-black-ethnic-motifs-a-line-top/7102379/buy</t>
  </si>
  <si>
    <t>zivame women grey tummy  thigh shaper zi0pssan03agrey</t>
  </si>
  <si>
    <t>https://www.myntra.com/shapewear/zivame/zivame-women-grey-tummy--thigh-shaper-zi0pssan03agrey/7569310/buy</t>
  </si>
  <si>
    <t>varanga women mustard yellow solid straight kurta with thread work</t>
  </si>
  <si>
    <t>https://www.myntra.com/kurtas/varanga/varanga-women-mustard-yellow-solid-straight-kurta-with-thread-work/12412864/buy</t>
  </si>
  <si>
    <t>wrogn men navy blue striped slim fit cotton pure cotton t shirt</t>
  </si>
  <si>
    <t>https://www.myntra.com/tshirts/wrogn/wrogn-men-navy-blue-striped-slim-fit-cotton-pure-cotton-t-shirt/11363302/buy</t>
  </si>
  <si>
    <t>taavi white  orange hand block print smocked legacy sustainable pure cotton a line top</t>
  </si>
  <si>
    <t>https://www.myntra.com/tops/taavi/taavi-white--orange-hand-block-print-smocked-legacy-sustainable-pure-cotton-a-line-top/11157486/buy</t>
  </si>
  <si>
    <t>roadster women stunning blue boyfriend fit stretchable jeans</t>
  </si>
  <si>
    <t>https://www.myntra.com/jeans/roadster/roadster-women-stunning-blue-boyfriend-fit-stretchable-jeans/11045892/buy</t>
  </si>
  <si>
    <t>tokyo talkies women maroon regular fit solid parallel trousers</t>
  </si>
  <si>
    <t>https://www.myntra.com/trousers/tokyo-talkies/tokyo-talkies-women-maroon-regular-fit-solid-parallel-trousers/13035312/buy</t>
  </si>
  <si>
    <t>roadster men grey printed pure cotton sustainable casual shirt</t>
  </si>
  <si>
    <t>https://www.myntra.com/shirts/roadster/roadster-men-grey-printed-pure-cotton-sustainable-casual-shirt/7256007/buy</t>
  </si>
  <si>
    <t>wrogn men blue slim fit mid rise clean look stretchable jeans</t>
  </si>
  <si>
    <t>https://www.myntra.com/jeans/wrogn/wrogn-men-blue-slim-fit-mid-rise-clean-look-stretchable-jeans/6832275/buy</t>
  </si>
  <si>
    <t>roadster women set of 2 printed t shirts</t>
  </si>
  <si>
    <t>https://www.myntra.com/tshirts/roadster/roadster-women-set-of-2-printed-t-shirts/17381750/buy</t>
  </si>
  <si>
    <t>sangria women green  yellow printed straight kurta</t>
  </si>
  <si>
    <t>https://www.myntra.com/kurtas/sangria/sangria-women-green--yellow-printed-straight-kurta/8350425/buy</t>
  </si>
  <si>
    <t>herenow women blue schifilli embroidered pure cotton top</t>
  </si>
  <si>
    <t>https://www.myntra.com/tops/herenow/herenow-women-blue-schifilli-embroidered-pure-cotton-top/12650884/buy</t>
  </si>
  <si>
    <t>anouk women green printed kurti with dhoti pants</t>
  </si>
  <si>
    <t>https://www.myntra.com/kurta-sets/anouk/anouk-women-green-printed-kurti-with-dhoti-pants/12337118/buy</t>
  </si>
  <si>
    <t>roadster men maroon pure cotton sustainable casual shirt</t>
  </si>
  <si>
    <t>https://www.myntra.com/shirts/roadster/roadster-men-maroon-pure-cotton-sustainable-casual-shirt/11903990/buy</t>
  </si>
  <si>
    <t>roadster women mustard yellow solid round neck t shirt</t>
  </si>
  <si>
    <t>https://www.myntra.com/tshirts/roadster/roadster-women-mustard-yellow-solid-round-neck-t-shirt/2439141/buy</t>
  </si>
  <si>
    <t>azira women green printed kurta with palazzos  dupatta</t>
  </si>
  <si>
    <t>Azira</t>
  </si>
  <si>
    <t>https://www.myntra.com/kurta-sets/azira/azira-women-green-printed-kurta-with-palazzos--dupatta/13141478/buy</t>
  </si>
  <si>
    <t>sangria teal blue  coral pink floral print a line dress</t>
  </si>
  <si>
    <t>https://www.myntra.com/dresses/sangria/sangria-teal-blue--coral-pink-floral-print-a-line-dress/11174094/buy</t>
  </si>
  <si>
    <t>roadster men blue faded denim casual sustainable shirt</t>
  </si>
  <si>
    <t>https://www.myntra.com/shirts/roadster/roadster-men-blue-faded-denim-casual-sustainable-shirt/6687412/buy</t>
  </si>
  <si>
    <t>the roadster lifestyle co women black striped top</t>
  </si>
  <si>
    <t>https://www.myntra.com/tops/roadster/the-roadster-lifestyle-co-women-black-striped-top/10856472/buy</t>
  </si>
  <si>
    <t>sangria women fuchsia  white layered printed kurta with trousers</t>
  </si>
  <si>
    <t>https://www.myntra.com/kurta-sets/sangria/sangria-women-fuchsia--white-layered-printed-kurta-with-trousers/8350055/buy</t>
  </si>
  <si>
    <t>34B, 34C, 34D, 36B, 36C, 36D, 38B, 38C, 38D, 40B, 40C, 40D, 42B, 42C, 42D</t>
  </si>
  <si>
    <t xml:space="preserve">enamor white non wired non padded full coverage everyday bra ab75 </t>
  </si>
  <si>
    <t>https://www.myntra.com/bra/enamor/enamor-white-non-wired-non-padded-full-coverage-everyday-bra-ab75-/130968/buy</t>
  </si>
  <si>
    <t>anayna women beige  pink screen print straight kurta</t>
  </si>
  <si>
    <t>https://www.myntra.com/kurtas/anayna/anayna-women-beige--pink-screen-print-straight-kurta/11530828/buy</t>
  </si>
  <si>
    <t>highlander men navy  off white slim fit checked casual shirt</t>
  </si>
  <si>
    <t>https://www.myntra.com/shirts/highlander/highlander-men-navy--off-white-slim-fit-checked-casual-shirt/2429098/buy</t>
  </si>
  <si>
    <t>highlander men black  white slim fit striped casual shirt</t>
  </si>
  <si>
    <t>https://www.myntra.com/shirts/highlander/highlander-men-black--white-slim-fit-striped-casual-shirt/12027772/buy</t>
  </si>
  <si>
    <t>la zoire maroon georgette maxi dress</t>
  </si>
  <si>
    <t>https://www.myntra.com/dresses/la-zoire/la-zoire-maroon-georgette-maxi-dress/2337104/buy</t>
  </si>
  <si>
    <t>pluss black a line crop pure cotton top</t>
  </si>
  <si>
    <t>https://www.myntra.com/tops/pluss/pluss-black-a-line-crop-pure-cotton-top/12150560/buy</t>
  </si>
  <si>
    <t>highlander men white slim fit solid casual shirt</t>
  </si>
  <si>
    <t>https://www.myntra.com/shirts/highlander/highlander-men-white-slim-fit-solid-casual-shirt/2888727/buy</t>
  </si>
  <si>
    <t>roadster men blue slim fit mid rise mildly distressed stretchable jeans</t>
  </si>
  <si>
    <t>https://www.myntra.com/jeans/roadster/roadster-men-blue-slim-fit-mid-rise-mildly-distressed-stretchable-jeans/10064487/buy</t>
  </si>
  <si>
    <t>kook n keech marvel women red printed polo collar pure cotton t shirt</t>
  </si>
  <si>
    <t>https://www.myntra.com/tshirts/kook-n-keech-marvel/kook-n-keech-marvel-women-red-printed-polo-collar-pure-cotton-t-shirt/8912653/buy</t>
  </si>
  <si>
    <t>roadster women stunning blue boyfriend fit jeans</t>
  </si>
  <si>
    <t>https://www.myntra.com/jeans/roadster/roadster-women-stunning-blue-boyfriend-fit-jeans/11045880/buy</t>
  </si>
  <si>
    <t>sassafras women blue solid denim jacket</t>
  </si>
  <si>
    <t>https://www.myntra.com/jackets/sassafras/sassafras-women-blue-solid-denim-jacket/10604500/buy</t>
  </si>
  <si>
    <t>harpa women pink printed wrap top</t>
  </si>
  <si>
    <t>https://www.myntra.com/tops/harpa/harpa-women-pink-printed-wrap-top/8986005/buy</t>
  </si>
  <si>
    <t>moda rapido men olive green printed round neck pure cotton t shirt</t>
  </si>
  <si>
    <t>https://www.myntra.com/tshirts/moda-rapido/moda-rapido-men-olive-green-printed-round-neck-pure-cotton-t-shirt/10266495/buy</t>
  </si>
  <si>
    <t>moda rapido men olive green  yellow striped cotton pure cotton t shirt</t>
  </si>
  <si>
    <t>https://www.myntra.com/tshirts/moda-rapido/moda-rapido-men-olive-green--yellow-striped-cotton-pure-cotton-t-shirt/11269190/buy</t>
  </si>
  <si>
    <t>hrx by hrithik roshan men quarter length pack of 3 terry socks</t>
  </si>
  <si>
    <t>https://www.myntra.com/socks/hrx-by-hrithik-roshan/hrx-by-hrithik-roshan-men-quarter-length-pack-of-3-terry-socks/976816/buy</t>
  </si>
  <si>
    <t>roadster men navy blue super skinny fit acid wash clean look stretchable jeans</t>
  </si>
  <si>
    <t>https://www.myntra.com/jeans/roadster/roadster-men-navy-blue-super-skinny-fit-acid-wash-clean-look-stretchable-jeans/10064541/buy</t>
  </si>
  <si>
    <t>mayra women mustard yellow  green ditsy floral printed cinched waist top</t>
  </si>
  <si>
    <t>https://www.myntra.com/tops/mayra/mayra-women-mustard-yellow--green-ditsy-floral-printed-cinched-waist-top/11235516/buy</t>
  </si>
  <si>
    <t>stylestone women blue solid denim jacket</t>
  </si>
  <si>
    <t>StyleStone</t>
  </si>
  <si>
    <t>https://www.myntra.com/jackets/stylestone/stylestone-women-blue-solid-denim-jacket/7526008/buy</t>
  </si>
  <si>
    <t>her by invictus white  black floral monochrome smart casual top</t>
  </si>
  <si>
    <t>https://www.myntra.com/tops/her-by-invictus/her-by-invictus-white--black-floral-monochrome-smart-casual-top/9451341/buy</t>
  </si>
  <si>
    <t>sassafras women olive green peg trousers</t>
  </si>
  <si>
    <t>https://www.myntra.com/trousers/sassafras/sassafras-women-olive-green-peg-trousers/8643285/buy</t>
  </si>
  <si>
    <t>hrx by hrithik roshan black self striped seamless rapid dry yoga tights</t>
  </si>
  <si>
    <t>https://www.myntra.com/tights/hrx-by-hrithik-roshan/hrx-by-hrithik-roshan-black-self-striped-seamless-rapid-dry-yoga-tights/11245584/buy</t>
  </si>
  <si>
    <t>roadster men sea green pure cotton sustainable casual shirt</t>
  </si>
  <si>
    <t>https://www.myntra.com/shirts/roadster/roadster-men-sea-green-pure-cotton-sustainable-casual-shirt/12918912/buy</t>
  </si>
  <si>
    <t>hrx by hrithik roshan men olive green camo athleisure track pants</t>
  </si>
  <si>
    <t>https://www.myntra.com/track-pants/hrx-by-hrithik-roshan/hrx-by-hrithik-roshan-men-olive-green-camo-athleisure-track-pants/6791064/buy</t>
  </si>
  <si>
    <t>https://www.myntra.com/jeans/wrogn/wrogn-men-black-slim-fit-mid-rise-clean-look-stretchable-jeans/10187401/buy</t>
  </si>
  <si>
    <t>https://www.myntra.com/jeans/wrogn/wrogn-men-blue-skinny-fit-mid-rise-clean-look-stretchable-jeans/2477061/buy</t>
  </si>
  <si>
    <t>tokyo talkies women black solid casual joggers</t>
  </si>
  <si>
    <t>https://www.myntra.com/track-pants/tokyo-talkies/tokyo-talkies-women-black-solid-casual-joggers/14154054/buy</t>
  </si>
  <si>
    <t>elevanto women fuchsia pink solid bath robe</t>
  </si>
  <si>
    <t>https://www.myntra.com/bath-robe/elevanto/elevanto-women-fuchsia-pink-solid-bath-robe/11938872/buy</t>
  </si>
  <si>
    <t>roadster women rust pink  white colourblocked round neck pure cotton t shirt with twisted detail</t>
  </si>
  <si>
    <t>https://www.myntra.com/tshirts/roadster/roadster-women-rust-pink--white-colourblocked-round-neck-pure-cotton-t-shirt-with-twisted-detail/10969948/buy</t>
  </si>
  <si>
    <t>quiero women maroon wrap detail jumpsuit</t>
  </si>
  <si>
    <t>QUIERO</t>
  </si>
  <si>
    <t>https://www.myntra.com/jumpsuit/quiero/quiero-women-maroon-wrap-detail-jumpsuit/10771696/buy</t>
  </si>
  <si>
    <t>cottinfab olive green solid cold shoulder jumpsuit</t>
  </si>
  <si>
    <t>https://www.myntra.com/jumpsuit/cottinfab/cottinfab-olive-green-solid-cold-shoulder-jumpsuit/7846797/buy</t>
  </si>
  <si>
    <t>vishudh women navy blue  green maxi dress</t>
  </si>
  <si>
    <t>https://www.myntra.com/dresses/vishudh/vishudh-women-navy-blue--green-maxi-dress/9971493/buy</t>
  </si>
  <si>
    <t>roadster women green  teal green pack of 2 printed round neck t shirts</t>
  </si>
  <si>
    <t>https://www.myntra.com/tshirts/roadster/roadster-women-green--teal-green-pack-of-2-printed-round-neck-t-shirts/17383362/buy</t>
  </si>
  <si>
    <t>roadster women blue solid regular fit denim shorts</t>
  </si>
  <si>
    <t>https://www.myntra.com/shorts/roadster/roadster-women-blue-solid-regular-fit-denim-shorts/11118428/buy</t>
  </si>
  <si>
    <t>sangria women black  green printed straight kurta</t>
  </si>
  <si>
    <t>https://www.myntra.com/kurtas/sangria/sangria-women-black--green-printed-straight-kurta/11173948/buy</t>
  </si>
  <si>
    <t>wisstler women navy  pink chevron print regular fit shorts</t>
  </si>
  <si>
    <t>WISSTLER</t>
  </si>
  <si>
    <t>https://www.myntra.com/shorts/wisstler/wisstler-women-navy--pink-chevron-print-regular-fit-shorts/2017530/buy</t>
  </si>
  <si>
    <t>zastraa women maroon slim fit peg trousers</t>
  </si>
  <si>
    <t>Zastraa</t>
  </si>
  <si>
    <t>https://www.myntra.com/trousers/zastraa/zastraa-women-maroon-slim-fit-peg-trousers/9476129/buy</t>
  </si>
  <si>
    <t>rare women maroon striped top</t>
  </si>
  <si>
    <t>https://www.myntra.com/tops/rare/rare-women-maroon-striped-top/6552977/buy</t>
  </si>
  <si>
    <t>kassually blue floral cinched waist top with puff sleeves</t>
  </si>
  <si>
    <t>https://www.myntra.com/tops/kassually/kassually-blue-floral-cinched-waist-top-with-puff-sleeves/11535928/buy</t>
  </si>
  <si>
    <t>all about you women mauve stretchable casual shirt</t>
  </si>
  <si>
    <t>https://www.myntra.com/shirts/all-about-you/all-about-you-women-mauve-stretchable-casual-shirt/13205276/buy</t>
  </si>
  <si>
    <t>enamor black non wired removable pads high coverage medium impact sports bra sb08</t>
  </si>
  <si>
    <t>https://www.myntra.com/bra/enamor/enamor-black-non-wired-removable-pads-high-coverage-medium-impact-sports-bra-sb08/1864573/buy</t>
  </si>
  <si>
    <t>anouk women mustard yellow  gold toned printed straight kurta</t>
  </si>
  <si>
    <t>https://www.myntra.com/kurtas/anouk/anouk-women-mustard-yellow--gold-toned-printed-straight-kurta/12153330/buy</t>
  </si>
  <si>
    <t>https://www.myntra.com/tshirts/roadster/roadster-women-pack-of-2-printed-cotton-t-shirt/17385142/buy</t>
  </si>
  <si>
    <t>dressberry women lovely olive typography talking tee</t>
  </si>
  <si>
    <t>https://www.myntra.com/tshirts/dressberry/dressberry-women-lovely-olive-typography-talking-tee/2522986/buy</t>
  </si>
  <si>
    <t>tokyo talkies women olive green regular fit solid cargos</t>
  </si>
  <si>
    <t>https://www.myntra.com/trousers/tokyo-talkies/tokyo-talkies-women-olive-green-regular-fit-solid-cargos/12391750/buy</t>
  </si>
  <si>
    <t>sangria women green  off white printed kurta with palazzos  dupatta</t>
  </si>
  <si>
    <t>https://www.myntra.com/kurta-sets/sangria/sangria-women-green--off-white-printed-kurta-with-palazzos--dupatta/10561392/buy</t>
  </si>
  <si>
    <t>vishudh women blue  pink floral print a line kurta</t>
  </si>
  <si>
    <t>https://www.myntra.com/kurtas/vishudh/vishudh-women-blue--pink-floral-print-a-line-kurta/10473520/buy</t>
  </si>
  <si>
    <t>highlander men blue  black slim fit printed casual shirt</t>
  </si>
  <si>
    <t>https://www.myntra.com/shirts/highlander/highlander-men-blue--black-slim-fit-printed-casual-shirt/13842386/buy</t>
  </si>
  <si>
    <t>roadster women maroon solid round neck t shirt</t>
  </si>
  <si>
    <t>https://www.myntra.com/tshirts/roadster/roadster-women-maroon-solid-round-neck-t-shirt/2312181/buy</t>
  </si>
  <si>
    <t>athena women black solid basic jumpsuit</t>
  </si>
  <si>
    <t>https://www.myntra.com/jumpsuit/athena/athena-women-black-solid-basic-jumpsuit/11634538/buy</t>
  </si>
  <si>
    <t>anubhutee women pink  white printed kurta with trousers  dupatta</t>
  </si>
  <si>
    <t>https://www.myntra.com/kurta-sets/anubhutee/anubhutee-women-pink--white-printed-kurta-with-trousers--dupatta/12873874/buy</t>
  </si>
  <si>
    <t>roadster men navy blue  white striped polo collar pure cotton t shirt</t>
  </si>
  <si>
    <t>https://www.myntra.com/tshirts/roadster/roadster-men-navy-blue--white-striped-polo-collar-pure-cotton-t-shirt/10307375/buy</t>
  </si>
  <si>
    <t>hrx by hrithik roshan men rapid dry training tights</t>
  </si>
  <si>
    <t>https://www.myntra.com/tights/hrx-by-hrithik-roshan/hrx-by-hrithik-roshan-men-rapid-dry-training-tights/7695793/buy</t>
  </si>
  <si>
    <t>herenow men blue slim fit mid rise clean look ankle length stretchable jeans</t>
  </si>
  <si>
    <t>https://www.myntra.com/jeans/herenow/herenow-men-blue-slim-fit-mid-rise-clean-look-ankle-length-stretchable-jeans/2359257/buy</t>
  </si>
  <si>
    <t>https://www.myntra.com/tshirts/roadster/roadster-women-pack-of-2-solid-t-shirts/17381394/buy</t>
  </si>
  <si>
    <t>mayra pink embroidered a line pure cotton top</t>
  </si>
  <si>
    <t>https://www.myntra.com/tops/mayra/mayra-pink-embroidered-a-line-pure-cotton-top/8439415/buy</t>
  </si>
  <si>
    <t>highlander men olive green slim fit solid regular trousers</t>
  </si>
  <si>
    <t>https://www.myntra.com/trousers/highlander/highlander-men-olive-green-slim-fit-solid-regular-trousers/6744434/buy</t>
  </si>
  <si>
    <t>mast  harbour women yellow solid tank top</t>
  </si>
  <si>
    <t>https://www.myntra.com/tops/mast--harbour/mast--harbour-women-yellow-solid-tank-top/2490950/buy</t>
  </si>
  <si>
    <t>roadster women white solid v neck pure cotton t shirt</t>
  </si>
  <si>
    <t>https://www.myntra.com/tshirts/roadster/roadster-women-white-solid-v-neck-pure-cotton-t-shirt/11690882/buy</t>
  </si>
  <si>
    <t>zivame women black saree shapewear zi3023core0nude</t>
  </si>
  <si>
    <t>https://www.myntra.com/shapewear/zivame/zivame-women-black-saree-shapewear-zi3023core0nude/4335679/buy</t>
  </si>
  <si>
    <t>roadster men navy white  black geometric printed sustainable casual shirt</t>
  </si>
  <si>
    <t>https://www.myntra.com/shirts/roadster/roadster-men-navy-white--black-geometric-printed-sustainable-casual-shirt/11895958/buy</t>
  </si>
  <si>
    <t>locomotive men black  white solid slim fit track pants</t>
  </si>
  <si>
    <t>https://www.myntra.com/track-pants/locomotive/locomotive-men-black--white-solid-slim-fit-track-pants/13780156/buy</t>
  </si>
  <si>
    <t>roadster men navy blue slim fit mid rise clean look jeans</t>
  </si>
  <si>
    <t>https://www.myntra.com/jeans/roadster/roadster-men-navy-blue-slim-fit-mid-rise-clean-look-jeans/2296012/buy</t>
  </si>
  <si>
    <t>Duplicate_Check</t>
  </si>
  <si>
    <t>Discount_Label</t>
  </si>
  <si>
    <t>SizeOption_Cleaned</t>
  </si>
  <si>
    <t>Updated_DiscountPrice</t>
  </si>
  <si>
    <t>Category_Avg_DiscountPrice</t>
  </si>
  <si>
    <t>Standardized_DiscountOffer</t>
  </si>
  <si>
    <t>Reviews</t>
  </si>
  <si>
    <t>Ratings</t>
  </si>
  <si>
    <t>SizeOption</t>
  </si>
  <si>
    <t>DiscountOffer</t>
  </si>
  <si>
    <t>Original Price (in Rs)</t>
  </si>
  <si>
    <t>Discount Price (in Rs)</t>
  </si>
  <si>
    <t>Description</t>
  </si>
  <si>
    <t>category_by_Gender</t>
  </si>
  <si>
    <t>Product_id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</si>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</sst>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F75B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9" fontId="0" fillId="0" borderId="0" xfId="0" applyNumberFormat="1" applyAlignment="1">
      <alignment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ull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_Data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CACB9-8C55-48CA-AF01-E01B11A9E231}" name="Table1" displayName="Table1" ref="A1:S1001" totalsRowShown="0" headerRowDxfId="0" headerRowBorderDxfId="21" tableBorderDxfId="22" totalsRowBorderDxfId="20">
  <autoFilter ref="A1:S1001" xr:uid="{31FCACB9-8C55-48CA-AF01-E01B11A9E231}"/>
  <tableColumns count="19">
    <tableColumn id="1" xr3:uid="{26B04384-EAA2-4A39-8776-7CBEA905E724}" name="Product_id" dataDxfId="19"/>
    <tableColumn id="2" xr3:uid="{D49E3AD1-C632-477B-949C-7B7D17E3CDED}" name="BrandName" dataDxfId="18"/>
    <tableColumn id="3" xr3:uid="{C8FB0147-FEFD-4AA8-AD08-719837512ABF}" name="Category" dataDxfId="17"/>
    <tableColumn id="4" xr3:uid="{F4116668-17E7-49AC-AEF1-C43B910663CF}" name="Individual_category" dataDxfId="16"/>
    <tableColumn id="5" xr3:uid="{5FBC8052-F94A-4BCC-9E6C-10CEDB7C47A5}" name="category_by_Gender" dataDxfId="15"/>
    <tableColumn id="6" xr3:uid="{15D8A03C-4085-4A82-93E5-3B771808FB5B}" name="Description" dataDxfId="14"/>
    <tableColumn id="7" xr3:uid="{DA59AC4D-83B2-4C78-8D9C-DEC1F12941B4}" name="Discount Price (in Rs)" dataDxfId="13"/>
    <tableColumn id="8" xr3:uid="{E9E841EC-1255-49F6-A32E-DF54B3417F64}" name="Original Price (in Rs)" dataDxfId="12"/>
    <tableColumn id="9" xr3:uid="{05BE3D0F-5209-4D72-A94A-654ED235DFEE}" name="DiscountOffer" dataDxfId="11"/>
    <tableColumn id="10" xr3:uid="{81C03363-B86F-4A63-B539-BBDAF37829A3}" name="SizeOption" dataDxfId="10"/>
    <tableColumn id="11" xr3:uid="{FC1A6676-B663-4ACA-976B-6BE4FBC5F46D}" name="Ratings" dataDxfId="9"/>
    <tableColumn id="12" xr3:uid="{4E8500EB-B53D-4D16-A3E2-C27F804A9152}" name="Reviews" dataDxfId="8"/>
    <tableColumn id="13" xr3:uid="{7E73FEDC-F137-414D-9011-CF749018DF31}" name="Standardized_DiscountOffer" dataDxfId="7"/>
    <tableColumn id="14" xr3:uid="{B7EBED68-B455-48CD-9E93-481C312369C5}" name="Category_Avg_DiscountPrice" dataDxfId="6"/>
    <tableColumn id="15" xr3:uid="{33AF4A0B-76AC-4A81-A88F-0F2851FB55D1}" name="Updated_DiscountPrice" dataDxfId="5"/>
    <tableColumn id="16" xr3:uid="{50FABA65-0000-4D83-861C-17C6E4ACCA2C}" name="SizeOption_Cleaned" dataDxfId="4"/>
    <tableColumn id="17" xr3:uid="{9824A1DE-82FC-45AD-8AE5-5FA8E0A831BE}" name="Discount_Label" dataDxfId="3"/>
    <tableColumn id="18" xr3:uid="{2D34573F-C4ED-4C9D-AC5F-3AA6267E5649}" name="Duplicate_Check" dataDxfId="2"/>
    <tableColumn id="19" xr3:uid="{9925349F-E264-4A8E-B3E2-C3BAB5C7B7C1}" name="URL" dataDxfId="1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yntra.com/tops/dressberry/dressberry-rust-orange-self-design-top/10162419/buy" TargetMode="External"/><Relationship Id="rId671" Type="http://schemas.openxmlformats.org/officeDocument/2006/relationships/hyperlink" Target="https://www.myntra.com/track-pants/hrx-by-hrithik-roshan/hrx-by-hrithik-roshan-active-men-teal-green-solid-rapid-dry-track-pants/8000719/buy" TargetMode="External"/><Relationship Id="rId769" Type="http://schemas.openxmlformats.org/officeDocument/2006/relationships/hyperlink" Target="https://www.myntra.com/shirts/roadster/roadster-men-maroon-slim-fit-sustainable-casual-shirt/2184630/buy" TargetMode="External"/><Relationship Id="rId976" Type="http://schemas.openxmlformats.org/officeDocument/2006/relationships/hyperlink" Target="https://www.myntra.com/kurtis/tissu/tissu-women-pink--white-printed-a-line-kurti/11759894/buy" TargetMode="External"/><Relationship Id="rId21" Type="http://schemas.openxmlformats.org/officeDocument/2006/relationships/hyperlink" Target="https://www.myntra.com/tshirts/roadster/roadster-women-pack-of-2-printed-cotton-t-shirt/17385142/buy" TargetMode="External"/><Relationship Id="rId324" Type="http://schemas.openxmlformats.org/officeDocument/2006/relationships/hyperlink" Target="https://www.myntra.com/trousers/rare/rare-women-brown-parallel-trousers/10463330/buy" TargetMode="External"/><Relationship Id="rId531" Type="http://schemas.openxmlformats.org/officeDocument/2006/relationships/hyperlink" Target="https://www.myntra.com/socks/mast--harbour/mast--harbour-men-set-of-3-ankle-length-socks/1575063/buy" TargetMode="External"/><Relationship Id="rId629" Type="http://schemas.openxmlformats.org/officeDocument/2006/relationships/hyperlink" Target="https://www.myntra.com/jeans/campus-sutra/campus-sutra-men-blue-jogger-fit-mid-rise-clean-look-stretchable-jeans/8375977/buy" TargetMode="External"/><Relationship Id="rId170" Type="http://schemas.openxmlformats.org/officeDocument/2006/relationships/hyperlink" Target="https://www.myntra.com/tshirts/roadster/roadster-women-navy-blue--maroon-pack-of-2-printed-round-neck-regular-fit-t-shirts/17383440/buy" TargetMode="External"/><Relationship Id="rId836" Type="http://schemas.openxmlformats.org/officeDocument/2006/relationships/hyperlink" Target="https://www.myntra.com/trousers/dennison/dennison-men-white-smart-tapered-fit-cropped-trousers/10604374/buy" TargetMode="External"/><Relationship Id="rId268" Type="http://schemas.openxmlformats.org/officeDocument/2006/relationships/hyperlink" Target="https://www.myntra.com/tshirts/chkokko/chkokko-men-black-solid-high-neck-t-shirt/10481292/buy" TargetMode="External"/><Relationship Id="rId475" Type="http://schemas.openxmlformats.org/officeDocument/2006/relationships/hyperlink" Target="https://www.myntra.com/tshirts/roadster/roadster-women-pack-of-2-pure-cotton-t-shirts/17381480/buy" TargetMode="External"/><Relationship Id="rId682" Type="http://schemas.openxmlformats.org/officeDocument/2006/relationships/hyperlink" Target="https://www.myntra.com/tshirts/roadster/roadster-women-navy-blue--black-pack-of-2-printed-round-neck-regular-fit-t-shirts/17383122/buy" TargetMode="External"/><Relationship Id="rId903" Type="http://schemas.openxmlformats.org/officeDocument/2006/relationships/hyperlink" Target="https://www.myntra.com/tops/scorpius/scorpious-women-pack-of-two-tops/9339527/buy" TargetMode="External"/><Relationship Id="rId32" Type="http://schemas.openxmlformats.org/officeDocument/2006/relationships/hyperlink" Target="https://www.myntra.com/dresses/vishudh/vishudh-women-navy-blue--green-maxi-dress/9971493/buy" TargetMode="External"/><Relationship Id="rId128" Type="http://schemas.openxmlformats.org/officeDocument/2006/relationships/hyperlink" Target="https://www.myntra.com/jeans/dressberry/dressberry-women-blue-skinny-fit-mid-rise-clean-look-stretchable-jeans/10365147/buy" TargetMode="External"/><Relationship Id="rId335" Type="http://schemas.openxmlformats.org/officeDocument/2006/relationships/hyperlink" Target="https://www.myntra.com/kurtas/anouk/anouk-women-turquoise-blue-solid-a-line-kurta/9200201/buy" TargetMode="External"/><Relationship Id="rId542" Type="http://schemas.openxmlformats.org/officeDocument/2006/relationships/hyperlink" Target="https://www.myntra.com/socks/hrx-by-hrithik-roshan/hrx-by-hrithik-roshan-men-ankle-length-pack-of-3-socks/2510307/buy" TargetMode="External"/><Relationship Id="rId987" Type="http://schemas.openxmlformats.org/officeDocument/2006/relationships/hyperlink" Target="https://www.myntra.com/sarees/mitera/mitera-pink--gold-toned-woven-design-zari-silk-blend-banarasi-saree/15012204/buy" TargetMode="External"/><Relationship Id="rId181" Type="http://schemas.openxmlformats.org/officeDocument/2006/relationships/hyperlink" Target="https://www.myntra.com/bra/hrx-by-hrithik-roshan/hrx-by-hrithik-roshan-seamless-black--grey-lightly-padded-rapid-dry-sports-bra-3376/8475729/buy" TargetMode="External"/><Relationship Id="rId402" Type="http://schemas.openxmlformats.org/officeDocument/2006/relationships/hyperlink" Target="https://www.myntra.com/tshirts/roadster/roadster-women-pack-of-2-printed-cotton-t-shirt/17385514/buy" TargetMode="External"/><Relationship Id="rId847" Type="http://schemas.openxmlformats.org/officeDocument/2006/relationships/hyperlink" Target="https://www.myntra.com/track-pants/hrx-by-hrithik-roshan/hrx-by-hrithik-roshan-men-black--navy-blue-colourblocked-joggers/2520652/buy" TargetMode="External"/><Relationship Id="rId279" Type="http://schemas.openxmlformats.org/officeDocument/2006/relationships/hyperlink" Target="https://www.myntra.com/tshirts/mast--harbour/mast--harbour-women-navy-blue--silver-printed-round-neck-t-shirt/11711888/buy" TargetMode="External"/><Relationship Id="rId486" Type="http://schemas.openxmlformats.org/officeDocument/2006/relationships/hyperlink" Target="https://www.myntra.com/tshirts/wrogn/wrogn-white-printed-pure-cotton-t-shirt/1421972/buy" TargetMode="External"/><Relationship Id="rId693" Type="http://schemas.openxmlformats.org/officeDocument/2006/relationships/hyperlink" Target="https://www.myntra.com/jeans/wrogn/wrogn-men-blue-slim-fit-mid-rise-clean-look-jogger-jeans/1758525/buy" TargetMode="External"/><Relationship Id="rId707" Type="http://schemas.openxmlformats.org/officeDocument/2006/relationships/hyperlink" Target="https://www.myntra.com/tshirts/roadster/roadster-women-pack-of-2-solid-t-shirts/17381404/buy" TargetMode="External"/><Relationship Id="rId914" Type="http://schemas.openxmlformats.org/officeDocument/2006/relationships/hyperlink" Target="https://www.myntra.com/tops/street-9/street-9-black--beige-animal-printed-flared-sleeves-chiffon-blouson-crop-top/13904908/buy" TargetMode="External"/><Relationship Id="rId43" Type="http://schemas.openxmlformats.org/officeDocument/2006/relationships/hyperlink" Target="https://www.myntra.com/trousers/sassafras/sassafras-women-olive-green-peg-trousers/8643285/buy" TargetMode="External"/><Relationship Id="rId139" Type="http://schemas.openxmlformats.org/officeDocument/2006/relationships/hyperlink" Target="https://www.myntra.com/trousers/street-9/street-9-women-rose-cropped-cargos/12277596/buy" TargetMode="External"/><Relationship Id="rId346" Type="http://schemas.openxmlformats.org/officeDocument/2006/relationships/hyperlink" Target="https://www.myntra.com/trousers/highlander/highlander-men-olive-green-slim-fit-chinos/1979350/buy" TargetMode="External"/><Relationship Id="rId553" Type="http://schemas.openxmlformats.org/officeDocument/2006/relationships/hyperlink" Target="https://www.myntra.com/lounge-pants/vimal/vimal-men-pack-of-2-black-solid-lounge-pants/11807560/buy" TargetMode="External"/><Relationship Id="rId760" Type="http://schemas.openxmlformats.org/officeDocument/2006/relationships/hyperlink" Target="https://www.myntra.com/jeans/roadster/roadster-women-blue-flared-fit-high-rise-clean-look-stretchable-jeans/12278684/buy" TargetMode="External"/><Relationship Id="rId998" Type="http://schemas.openxmlformats.org/officeDocument/2006/relationships/hyperlink" Target="https://www.myntra.com/shirts/locomotive/locomotive-men-olive-green-slim-fit-solid-casual-shirt/5523552/buy" TargetMode="External"/><Relationship Id="rId192" Type="http://schemas.openxmlformats.org/officeDocument/2006/relationships/hyperlink" Target="https://www.myntra.com/tops/her-by-invictus/her-by-invictus-mauve-top-with-pleated-detail/10374655/buy" TargetMode="External"/><Relationship Id="rId206" Type="http://schemas.openxmlformats.org/officeDocument/2006/relationships/hyperlink" Target="https://www.myntra.com/leggings/go-colors/go-colors-women-silver-toned-solid-skinny-fit-shimmer-ankle-length-leggings/4891840/buy" TargetMode="External"/><Relationship Id="rId413" Type="http://schemas.openxmlformats.org/officeDocument/2006/relationships/hyperlink" Target="https://www.myntra.com/kurtas/vishudh/vishudh-women-red--gold-toned-printed-straight-kurta/5597189/buy" TargetMode="External"/><Relationship Id="rId858" Type="http://schemas.openxmlformats.org/officeDocument/2006/relationships/hyperlink" Target="https://www.myntra.com/dresses/sangria/sangria-red--white-geometric-printed-cotton-a-line-dress/11174192/buy" TargetMode="External"/><Relationship Id="rId497" Type="http://schemas.openxmlformats.org/officeDocument/2006/relationships/hyperlink" Target="https://www.myntra.com/dresses/tokyo-talkies/tokyo-talkies-women-rust-red-floral-printed-dress/10088851/buy" TargetMode="External"/><Relationship Id="rId620" Type="http://schemas.openxmlformats.org/officeDocument/2006/relationships/hyperlink" Target="https://www.myntra.com/jeans/roadster/roadster-men-black-skinny-fit-mid-rise-clean-look-stretchable-jeans/9716731/buy" TargetMode="External"/><Relationship Id="rId718" Type="http://schemas.openxmlformats.org/officeDocument/2006/relationships/hyperlink" Target="https://www.myntra.com/tshirts/roadster/roadster-women-navy-blue--maroon-pack-of-2-printed-round-neck-regular-fit-t-shirts/17382882/buy" TargetMode="External"/><Relationship Id="rId925" Type="http://schemas.openxmlformats.org/officeDocument/2006/relationships/hyperlink" Target="https://www.myntra.com/kurta-sets/yuris/yuris-women-blue--peach-coloured-printed-kurta-with-trousers--dupatta/13530352/buy" TargetMode="External"/><Relationship Id="rId357" Type="http://schemas.openxmlformats.org/officeDocument/2006/relationships/hyperlink" Target="https://www.myntra.com/tops/roadster/roadster-women-yellow-solid-top/8964507/buy" TargetMode="External"/><Relationship Id="rId54" Type="http://schemas.openxmlformats.org/officeDocument/2006/relationships/hyperlink" Target="https://www.myntra.com/tshirts/kook-n-keech-marvel/kook-n-keech-marvel-women-red-printed-polo-collar-pure-cotton-t-shirt/8912653/buy" TargetMode="External"/><Relationship Id="rId217" Type="http://schemas.openxmlformats.org/officeDocument/2006/relationships/hyperlink" Target="https://www.myntra.com/night-suits/etc/etc-women-navy-blue--pink-floral-print-night-suit/12441728/buy" TargetMode="External"/><Relationship Id="rId564" Type="http://schemas.openxmlformats.org/officeDocument/2006/relationships/hyperlink" Target="https://www.myntra.com/shirts/roadster/the-roadster-lifestyle-co-men-maroon--grey-checked-sustainable-casual-shirt/10759302/buy" TargetMode="External"/><Relationship Id="rId771" Type="http://schemas.openxmlformats.org/officeDocument/2006/relationships/hyperlink" Target="https://www.myntra.com/tshirts/roadster/roadster-women-pack-of-2-cotton-t-shirts/17381548/buy" TargetMode="External"/><Relationship Id="rId869" Type="http://schemas.openxmlformats.org/officeDocument/2006/relationships/hyperlink" Target="https://www.myntra.com/jeans/dressberry/dressberry-women-blue-skinny-fit-mid-rise-slash-knee-stretchable-jeans/2202564/buy" TargetMode="External"/><Relationship Id="rId424" Type="http://schemas.openxmlformats.org/officeDocument/2006/relationships/hyperlink" Target="https://www.myntra.com/shirts/roadster/roadster-men-navy-blue--green-checked-pure-cotton-casual-sustainable-shirt/11896050/buy" TargetMode="External"/><Relationship Id="rId631" Type="http://schemas.openxmlformats.org/officeDocument/2006/relationships/hyperlink" Target="https://www.myntra.com/kurtas/herenow/herenow-women-blue--golden-ethnic-printed-straight-kurta/12524816/buy" TargetMode="External"/><Relationship Id="rId729" Type="http://schemas.openxmlformats.org/officeDocument/2006/relationships/hyperlink" Target="https://www.myntra.com/briefs/jockey/jockey-men-black--white-printed-briefs-ny01-0105-nyc01/10906444/buy" TargetMode="External"/><Relationship Id="rId270" Type="http://schemas.openxmlformats.org/officeDocument/2006/relationships/hyperlink" Target="https://www.myntra.com/tops/herenow/herenow-white-lightweight-a-line-pure-cotton-top-with-gathers/2077137/buy" TargetMode="External"/><Relationship Id="rId936" Type="http://schemas.openxmlformats.org/officeDocument/2006/relationships/hyperlink" Target="https://www.myntra.com/tshirts/roadster/the-roadster-lifestyle-co-women-pink-solid-round-neck-pure-cotton-t-shirt/9739965/buy" TargetMode="External"/><Relationship Id="rId65" Type="http://schemas.openxmlformats.org/officeDocument/2006/relationships/hyperlink" Target="https://www.myntra.com/shirts/roadster/roadster-men-blue-faded-denim-casual-sustainable-shirt/6687412/buy" TargetMode="External"/><Relationship Id="rId130" Type="http://schemas.openxmlformats.org/officeDocument/2006/relationships/hyperlink" Target="https://www.myntra.com/kurtas/anouk/anouk-women-blue--white-printed-indigo-straight-kurta/10960692/buy" TargetMode="External"/><Relationship Id="rId368" Type="http://schemas.openxmlformats.org/officeDocument/2006/relationships/hyperlink" Target="https://www.myntra.com/shirts/highlander/highlander-men-rust-red--off-white-slim-fit-printed-casual-shirt/13861878/buy" TargetMode="External"/><Relationship Id="rId575" Type="http://schemas.openxmlformats.org/officeDocument/2006/relationships/hyperlink" Target="https://www.myntra.com/bra/jockey/jockey-black-moulded-cami-bra-ss12/27502/buy" TargetMode="External"/><Relationship Id="rId782" Type="http://schemas.openxmlformats.org/officeDocument/2006/relationships/hyperlink" Target="https://www.myntra.com/tshirts/wrogn/wrogn-men-green-printed-t-shirt/8426499/buy" TargetMode="External"/><Relationship Id="rId228" Type="http://schemas.openxmlformats.org/officeDocument/2006/relationships/hyperlink" Target="https://www.myntra.com/jeans/tokyo-talkies/tokyo-talkies-women-white-super-skinny-fit-mid-rise-clean-look-stretchable-jeans/8195049/buy" TargetMode="External"/><Relationship Id="rId435" Type="http://schemas.openxmlformats.org/officeDocument/2006/relationships/hyperlink" Target="https://www.myntra.com/trunk/one8-by-virat-kohli/one8-by-virat-kohli-pack-of-2-men-grey-melange--orange-solid-trunks-10512948-1-10513016-1/11217408/buy" TargetMode="External"/><Relationship Id="rId642" Type="http://schemas.openxmlformats.org/officeDocument/2006/relationships/hyperlink" Target="https://www.myntra.com/kurta-sets/ishin/ishin-women-green--off-white-yoke-design-kurta-with-block-print-palazzos/11250784/buy" TargetMode="External"/><Relationship Id="rId281" Type="http://schemas.openxmlformats.org/officeDocument/2006/relationships/hyperlink" Target="https://www.myntra.com/shirts/roadster/roadster-men-maroon--navy-blue-regular-fit-checked-sustainable-casual-shirt/11326694/buy" TargetMode="External"/><Relationship Id="rId502" Type="http://schemas.openxmlformats.org/officeDocument/2006/relationships/hyperlink" Target="https://www.myntra.com/tops/pluss/pluss-women-blue-printed-peplum-top/8715089/buy" TargetMode="External"/><Relationship Id="rId947" Type="http://schemas.openxmlformats.org/officeDocument/2006/relationships/hyperlink" Target="https://www.myntra.com/bra/zivame/zivame-blue-solid-non-wired-non-padded-t-shirt-bra-zi1882coreablue/10554970/buy" TargetMode="External"/><Relationship Id="rId76" Type="http://schemas.openxmlformats.org/officeDocument/2006/relationships/hyperlink" Target="https://www.myntra.com/trousers/tokyo-talkies/tokyo-talkies-women-maroon-regular-fit-solid-parallel-trousers/13035312/buy" TargetMode="External"/><Relationship Id="rId141" Type="http://schemas.openxmlformats.org/officeDocument/2006/relationships/hyperlink" Target="https://www.myntra.com/jeans/roadster/roadster-women-blue-flared-high-rise-clean-look-stretchable-jeans/11542062/buy" TargetMode="External"/><Relationship Id="rId379" Type="http://schemas.openxmlformats.org/officeDocument/2006/relationships/hyperlink" Target="https://www.myntra.com/sarees/inddus/inddus-red--golden-woven-design-silk-blend-saree/12048344/buy" TargetMode="External"/><Relationship Id="rId586" Type="http://schemas.openxmlformats.org/officeDocument/2006/relationships/hyperlink" Target="https://www.myntra.com/jeans/highlander/highlander-men-blue-slim-fit-mid-rise-clean-look-acid-wash-stretchable-jeans/3077230/buy" TargetMode="External"/><Relationship Id="rId793" Type="http://schemas.openxmlformats.org/officeDocument/2006/relationships/hyperlink" Target="https://www.myntra.com/dresses/vishudh/vishudh-women-navy-blue-printed-maxi-dress/8746069/buy" TargetMode="External"/><Relationship Id="rId807" Type="http://schemas.openxmlformats.org/officeDocument/2006/relationships/hyperlink" Target="https://www.myntra.com/jeans/roadster/the-roadster-lifestyle-co-men-black-skinny-fit-mid-rise-clean-look-stretchable-jeans/8962359/buy" TargetMode="External"/><Relationship Id="rId7" Type="http://schemas.openxmlformats.org/officeDocument/2006/relationships/hyperlink" Target="https://www.myntra.com/trousers/highlander/highlander-men-olive-green-slim-fit-solid-regular-trousers/6744434/buy" TargetMode="External"/><Relationship Id="rId239" Type="http://schemas.openxmlformats.org/officeDocument/2006/relationships/hyperlink" Target="https://www.myntra.com/kurta-sets/sangria/sangria-women-green--blue-embroidered-kurta-with-trousers/8349037/buy" TargetMode="External"/><Relationship Id="rId446" Type="http://schemas.openxmlformats.org/officeDocument/2006/relationships/hyperlink" Target="https://www.myntra.com/tights/hrx-by-hrithik-roshan/hrx-by-hrithik-roshan-women-navy-blue-skinny-fit-solid-rapid-dry-cropped-training-tights/7695782/buy" TargetMode="External"/><Relationship Id="rId653" Type="http://schemas.openxmlformats.org/officeDocument/2006/relationships/hyperlink" Target="https://www.myntra.com/tops/dressberry/dressberry-women-white-sheer-polyester-casual-top/1244305/buy" TargetMode="External"/><Relationship Id="rId292" Type="http://schemas.openxmlformats.org/officeDocument/2006/relationships/hyperlink" Target="https://www.myntra.com/tshirts/roadster/roadster-men-white-solid-slub-effect-raw-edge-v-neck-pure-cotton-t-shirt/2306179/buy" TargetMode="External"/><Relationship Id="rId306" Type="http://schemas.openxmlformats.org/officeDocument/2006/relationships/hyperlink" Target="https://www.myntra.com/jeans/ether/ether-women-black-skinny-fit-low-rise-clean-look-jeans/1802098/buy" TargetMode="External"/><Relationship Id="rId860" Type="http://schemas.openxmlformats.org/officeDocument/2006/relationships/hyperlink" Target="https://www.myntra.com/jeans/roadster/the-roadster-lifestyle-co-women-blue-skinny-fit-mid-rise-clean-look-stretchable-cropped-jeans/9205397/buy" TargetMode="External"/><Relationship Id="rId958" Type="http://schemas.openxmlformats.org/officeDocument/2006/relationships/hyperlink" Target="https://www.myntra.com/jeans/moda-rapido/moda-rapido-women-navy-blue-bootcut-high-rise-clean-look-stretchable-jeans/9072709/buy" TargetMode="External"/><Relationship Id="rId87" Type="http://schemas.openxmlformats.org/officeDocument/2006/relationships/hyperlink" Target="https://www.myntra.com/briefs/levis/levis-men-pack-of-2-solid-pure-cotton--briefs-bf-100ca-2pk/9262959/buy" TargetMode="External"/><Relationship Id="rId513" Type="http://schemas.openxmlformats.org/officeDocument/2006/relationships/hyperlink" Target="https://www.myntra.com/sweatshirts/hrx-by-hrithik-roshan/hrx-by-hrithik-roshan-men-black-solid-sweatshirt/1960337/buy" TargetMode="External"/><Relationship Id="rId597" Type="http://schemas.openxmlformats.org/officeDocument/2006/relationships/hyperlink" Target="https://www.myntra.com/jackets/hrx-by-hrithik-roshan/hrx-active-by-hrithik-roshan-men-grey-solid-sporty-jacket/4923947/buy" TargetMode="External"/><Relationship Id="rId720" Type="http://schemas.openxmlformats.org/officeDocument/2006/relationships/hyperlink" Target="https://www.myntra.com/tunics/nayo/nayo-womens-maroon--cream-coloured-printed-tunic/14170550/buy" TargetMode="External"/><Relationship Id="rId818" Type="http://schemas.openxmlformats.org/officeDocument/2006/relationships/hyperlink" Target="https://www.myntra.com/shirts/locomotive/locomotive-men-blue--mauve-slim-fit-printed-casual-shirt/12032544/buy" TargetMode="External"/><Relationship Id="rId152" Type="http://schemas.openxmlformats.org/officeDocument/2006/relationships/hyperlink" Target="https://www.myntra.com/trousers/roadster/roadster-men-khaki-slim-fit-solid-chinos/2167359/buy" TargetMode="External"/><Relationship Id="rId457" Type="http://schemas.openxmlformats.org/officeDocument/2006/relationships/hyperlink" Target="https://www.myntra.com/tshirts/roadster/roadster-women-pack-of-2-mustard-yellow-solid-t-shirts/17381350/buy" TargetMode="External"/><Relationship Id="rId664" Type="http://schemas.openxmlformats.org/officeDocument/2006/relationships/hyperlink" Target="https://www.myntra.com/trousers/roadster/roadster-men-grey-slim-fit-solid-joggers/3081630/buy" TargetMode="External"/><Relationship Id="rId871" Type="http://schemas.openxmlformats.org/officeDocument/2006/relationships/hyperlink" Target="https://www.myntra.com/tshirts/mast--harbour/mast--harbour-women-green-solid-round-neck-t-shirt/2464258/buy" TargetMode="External"/><Relationship Id="rId969" Type="http://schemas.openxmlformats.org/officeDocument/2006/relationships/hyperlink" Target="https://www.myntra.com/sweatshirts/roadster/roadster-women-lavender-solid-sweatshirt/11991302/buy" TargetMode="External"/><Relationship Id="rId14" Type="http://schemas.openxmlformats.org/officeDocument/2006/relationships/hyperlink" Target="https://www.myntra.com/jumpsuit/athena/athena-women-black-solid-basic-jumpsuit/11634538/buy" TargetMode="External"/><Relationship Id="rId317" Type="http://schemas.openxmlformats.org/officeDocument/2006/relationships/hyperlink" Target="https://www.myntra.com/jeans/mast--harbour/mast--harbour-men-navy-blue-skinny-fit-mid-rise-clean-look-stretchable-jeans/7255260/buy" TargetMode="External"/><Relationship Id="rId524" Type="http://schemas.openxmlformats.org/officeDocument/2006/relationships/hyperlink" Target="https://www.myntra.com/tshirts/kook-n-keech-marvel/kook-n-keech-marvel-men-black--white-printed-round-neck-pure-cotton-t-shirt/8972475/buy" TargetMode="External"/><Relationship Id="rId731" Type="http://schemas.openxmlformats.org/officeDocument/2006/relationships/hyperlink" Target="https://www.myntra.com/sarees/gosriki/gosriki-off-white-silk-blend-solid-khadi-saree/10853008/buy" TargetMode="External"/><Relationship Id="rId98" Type="http://schemas.openxmlformats.org/officeDocument/2006/relationships/hyperlink" Target="https://www.myntra.com/sweatshirts/belle-fille/belle-fille-maroon-polyester-fleece-hooded-sweatshirt/596473/buy" TargetMode="External"/><Relationship Id="rId163" Type="http://schemas.openxmlformats.org/officeDocument/2006/relationships/hyperlink" Target="https://www.myntra.com/socks/peter-england/peter-england-men-set-of-3-calf-length-assorted-socks/7224693/buy" TargetMode="External"/><Relationship Id="rId370" Type="http://schemas.openxmlformats.org/officeDocument/2006/relationships/hyperlink" Target="https://www.myntra.com/bra/dressberry/dressberry-pack-of-2-solid-non-wired-lightly-padded-t-shirt-bras-bp-030/11883168/buy" TargetMode="External"/><Relationship Id="rId829" Type="http://schemas.openxmlformats.org/officeDocument/2006/relationships/hyperlink" Target="https://www.myntra.com/dresses/anouk/anouk-green--blue-striped-pure-cotton-a-line-dress/11199374/buy" TargetMode="External"/><Relationship Id="rId230" Type="http://schemas.openxmlformats.org/officeDocument/2006/relationships/hyperlink" Target="https://www.myntra.com/kurta-sets/anouk/anouk-women-mustard-yellow--pink-printed-kurta-with-trousers/12134814/buy" TargetMode="External"/><Relationship Id="rId468" Type="http://schemas.openxmlformats.org/officeDocument/2006/relationships/hyperlink" Target="https://www.myntra.com/kurtas/sangria/sangria-women-black-printed-straight-kurta/8420231/buy" TargetMode="External"/><Relationship Id="rId675" Type="http://schemas.openxmlformats.org/officeDocument/2006/relationships/hyperlink" Target="https://www.myntra.com/kurtas/herenow/herenow-women-peach-coloured--white-bandhani-print-straight-kurta/12530338/buy" TargetMode="External"/><Relationship Id="rId882" Type="http://schemas.openxmlformats.org/officeDocument/2006/relationships/hyperlink" Target="https://www.myntra.com/jeans/miss-chase/miss-chase-women-navy-blue-slim-fit-high-rise-clean-look-jeans/7744508/buy" TargetMode="External"/><Relationship Id="rId25" Type="http://schemas.openxmlformats.org/officeDocument/2006/relationships/hyperlink" Target="https://www.myntra.com/tops/kassually/kassually-blue-floral-cinched-waist-top-with-puff-sleeves/11535928/buy" TargetMode="External"/><Relationship Id="rId328" Type="http://schemas.openxmlformats.org/officeDocument/2006/relationships/hyperlink" Target="https://www.myntra.com/kurtas/sangria/sangria-women-red-printed-straight-kurta/9371627/buy" TargetMode="External"/><Relationship Id="rId535" Type="http://schemas.openxmlformats.org/officeDocument/2006/relationships/hyperlink" Target="https://www.myntra.com/trousers/sassafras/sassafras-women-black-smart-high-rise-graduated-flare-trousers/14994900/buy" TargetMode="External"/><Relationship Id="rId742" Type="http://schemas.openxmlformats.org/officeDocument/2006/relationships/hyperlink" Target="https://www.myntra.com/dresses/sassafras/sassafras-grey-floral-printed-high-slit-maxi-dress/8643095/buy" TargetMode="External"/><Relationship Id="rId174" Type="http://schemas.openxmlformats.org/officeDocument/2006/relationships/hyperlink" Target="https://www.myntra.com/bra/dressberry/dressberry-peach-coloured-workout-bra-medium-coverage/13983654/buy" TargetMode="External"/><Relationship Id="rId381" Type="http://schemas.openxmlformats.org/officeDocument/2006/relationships/hyperlink" Target="https://www.myntra.com/jeggings/roadster/roadster-women-navy-blue-super-skinny-fit-washed-treggings/11489668/buy" TargetMode="External"/><Relationship Id="rId602" Type="http://schemas.openxmlformats.org/officeDocument/2006/relationships/hyperlink" Target="https://www.myntra.com/tshirts/hrx-by-hrithik-roshan/hrx-by-hrithik-roshan-women-white--blue-dyed-round-neck-crop-pure-cotton-t-shirt/11704426/buy" TargetMode="External"/><Relationship Id="rId241" Type="http://schemas.openxmlformats.org/officeDocument/2006/relationships/hyperlink" Target="https://www.myntra.com/tshirts/hrx-by-hrithik-roshan/hrx-by-hrithik-roshan-women-grey-t-shirt-with-raglan-sleeves/9038197/buy" TargetMode="External"/><Relationship Id="rId479" Type="http://schemas.openxmlformats.org/officeDocument/2006/relationships/hyperlink" Target="https://www.myntra.com/shirts/highlander/highlander-men-white--olive-green-slim-fit-printed-casual-shirt/11889116/buy" TargetMode="External"/><Relationship Id="rId686" Type="http://schemas.openxmlformats.org/officeDocument/2006/relationships/hyperlink" Target="https://www.myntra.com/sweatshirts/hrx-by-hrithik-roshan/hrx-by-hrithik-roshan-men-navy--mustard-yellow-colourblocked-sweatshirt/9445631/buy" TargetMode="External"/><Relationship Id="rId893" Type="http://schemas.openxmlformats.org/officeDocument/2006/relationships/hyperlink" Target="https://www.myntra.com/tops/veni-vidi-vici/veni-vidi-vici-maroon-one-shoulder-fitted-crop-top/1973570/buy" TargetMode="External"/><Relationship Id="rId907" Type="http://schemas.openxmlformats.org/officeDocument/2006/relationships/hyperlink" Target="https://www.myntra.com/shirts/wrogn/wrogn-men-blue-faded-cotton-casual-shirt/11361514/buy" TargetMode="External"/><Relationship Id="rId36" Type="http://schemas.openxmlformats.org/officeDocument/2006/relationships/hyperlink" Target="https://www.myntra.com/bath-robe/elevanto/elevanto-women-fuchsia-pink-solid-bath-robe/11938872/buy" TargetMode="External"/><Relationship Id="rId339" Type="http://schemas.openxmlformats.org/officeDocument/2006/relationships/hyperlink" Target="https://www.myntra.com/tshirts/wrogn/wrogn-men-charcoal-grey-printed-v-neck-slim-fit-pure-cotton-t-shirt/8426381/buy" TargetMode="External"/><Relationship Id="rId546" Type="http://schemas.openxmlformats.org/officeDocument/2006/relationships/hyperlink" Target="https://www.myntra.com/dresses/uf/uf-women-maroon-solid-maxi-dress/11099542/buy" TargetMode="External"/><Relationship Id="rId753" Type="http://schemas.openxmlformats.org/officeDocument/2006/relationships/hyperlink" Target="https://www.myntra.com/sweatshirts/roadster/the-roadster-lifestyle-co-women-black-printed-reversible-sweatshirt/9478001/buy" TargetMode="External"/><Relationship Id="rId101" Type="http://schemas.openxmlformats.org/officeDocument/2006/relationships/hyperlink" Target="https://www.myntra.com/tshirts/dressberry/dressberry-women-grey-melange-printed-round-neck-t-shirt/2522852/buy" TargetMode="External"/><Relationship Id="rId185" Type="http://schemas.openxmlformats.org/officeDocument/2006/relationships/hyperlink" Target="https://www.myntra.com/palazzos/clora-creation/clora-creation-women-white-embroidered-straight-palazzos/9791977/buy" TargetMode="External"/><Relationship Id="rId406" Type="http://schemas.openxmlformats.org/officeDocument/2006/relationships/hyperlink" Target="https://www.myntra.com/briefs/us-polo-assn/us-polo-assn-men-assorted-briefs-z9i615-615/10248053/buy" TargetMode="External"/><Relationship Id="rId960" Type="http://schemas.openxmlformats.org/officeDocument/2006/relationships/hyperlink" Target="https://www.myntra.com/sarees/saree-mall/saree-mall-yellow-silk-blend-patola-print-kanjeevaram-saree-with-unstitched-blouse/6825162/buy" TargetMode="External"/><Relationship Id="rId392" Type="http://schemas.openxmlformats.org/officeDocument/2006/relationships/hyperlink" Target="https://www.myntra.com/tshirts/roadster/roadster-men-navy-blue--red-striped-pure-cotton-polo-collar-applique-pure-cotton-t-shirt/1396021/buy" TargetMode="External"/><Relationship Id="rId613" Type="http://schemas.openxmlformats.org/officeDocument/2006/relationships/hyperlink" Target="https://www.myntra.com/kurtas/vishudh/vishudh-women-pink--white-printed-straight-kurta/2976313/buy" TargetMode="External"/><Relationship Id="rId697" Type="http://schemas.openxmlformats.org/officeDocument/2006/relationships/hyperlink" Target="https://www.myntra.com/trousers/highlander/highlander-men-beige-casual-trousers/1380188/buy" TargetMode="External"/><Relationship Id="rId820" Type="http://schemas.openxmlformats.org/officeDocument/2006/relationships/hyperlink" Target="https://www.myntra.com/jeans/herenow/herenow-women-black-skinny-fit-high-rise-clean-look-stretchable-jeans/13532336/buy" TargetMode="External"/><Relationship Id="rId918" Type="http://schemas.openxmlformats.org/officeDocument/2006/relationships/hyperlink" Target="https://www.myntra.com/tshirts/roadster/roadster-women-mustard-brown--charcoal-grey-colourblocked-round-neck-t-shirt/2519738/buy" TargetMode="External"/><Relationship Id="rId252" Type="http://schemas.openxmlformats.org/officeDocument/2006/relationships/hyperlink" Target="https://www.myntra.com/tshirts/roadster/roadster-women-pack-of-2-pure-cotton-t-shirts/17382176/buy" TargetMode="External"/><Relationship Id="rId47" Type="http://schemas.openxmlformats.org/officeDocument/2006/relationships/hyperlink" Target="https://www.myntra.com/jeans/roadster/roadster-men-navy-blue-super-skinny-fit-acid-wash-clean-look-stretchable-jeans/10064541/buy" TargetMode="External"/><Relationship Id="rId112" Type="http://schemas.openxmlformats.org/officeDocument/2006/relationships/hyperlink" Target="https://www.myntra.com/tshirts/roadster/roadster-men-navy-blue-solid-polo-collar-pure-cotton-t-shirt/2303687/buy" TargetMode="External"/><Relationship Id="rId557" Type="http://schemas.openxmlformats.org/officeDocument/2006/relationships/hyperlink" Target="https://www.myntra.com/shirts/locomotive/locomotive-men-blue--navy-blue-slim-fit-checked-casual-shirt/10341691/buy" TargetMode="External"/><Relationship Id="rId764" Type="http://schemas.openxmlformats.org/officeDocument/2006/relationships/hyperlink" Target="https://www.myntra.com/tops/herenow/herenow-women-pink-printed-pure-cotton-top/2483497/buy" TargetMode="External"/><Relationship Id="rId971" Type="http://schemas.openxmlformats.org/officeDocument/2006/relationships/hyperlink" Target="https://www.myntra.com/tops/marie-claire/marie-claire-women-blue--red-floral-print-cape-top/1731802/buy" TargetMode="External"/><Relationship Id="rId196" Type="http://schemas.openxmlformats.org/officeDocument/2006/relationships/hyperlink" Target="https://www.myntra.com/tshirts/wrogn/wrogn-men-olive-green-henley-neck-slim-fit-cotton-pure-cotton-t-shirt/6833068/buy" TargetMode="External"/><Relationship Id="rId417" Type="http://schemas.openxmlformats.org/officeDocument/2006/relationships/hyperlink" Target="https://www.myntra.com/jeans/roadster/roadster-women-blue-narrow-wide-leg-high-rise-clean-look-stretchable-jeans/13315066/buy" TargetMode="External"/><Relationship Id="rId624" Type="http://schemas.openxmlformats.org/officeDocument/2006/relationships/hyperlink" Target="https://www.myntra.com/kurta-sets/vishudh/vishudh-women-maroon-checked-kurta-with-palazzos/8773391/buy" TargetMode="External"/><Relationship Id="rId831" Type="http://schemas.openxmlformats.org/officeDocument/2006/relationships/hyperlink" Target="https://www.myntra.com/night-suits/anubhutee/anubhutee-women-green--white-bandhani-printed-cotton-night-suit/13021512/buy" TargetMode="External"/><Relationship Id="rId263" Type="http://schemas.openxmlformats.org/officeDocument/2006/relationships/hyperlink" Target="https://www.myntra.com/tops/sangria/sangria-blue-ethnic-motifs-a-line-pure-cotton-top/8349519/buy" TargetMode="External"/><Relationship Id="rId470" Type="http://schemas.openxmlformats.org/officeDocument/2006/relationships/hyperlink" Target="https://www.myntra.com/tshirts/roadster/roadster-women-pack-of-2-pure-cotton-t-shirts/17384216/buy" TargetMode="External"/><Relationship Id="rId929" Type="http://schemas.openxmlformats.org/officeDocument/2006/relationships/hyperlink" Target="https://www.myntra.com/jeans/highlander/highlander-men-black-slim-tapered-fit-mid-rise-clean-look-stretchable-jeans/3855148/buy" TargetMode="External"/><Relationship Id="rId58" Type="http://schemas.openxmlformats.org/officeDocument/2006/relationships/hyperlink" Target="https://www.myntra.com/dresses/la-zoire/la-zoire-maroon-georgette-maxi-dress/2337104/buy" TargetMode="External"/><Relationship Id="rId123" Type="http://schemas.openxmlformats.org/officeDocument/2006/relationships/hyperlink" Target="https://www.myntra.com/jeans/moda-rapido/moda-rapido-men-black-skinny-fit-mid-rise-slash-knee-stretchable-jeans/2344421/buy" TargetMode="External"/><Relationship Id="rId330" Type="http://schemas.openxmlformats.org/officeDocument/2006/relationships/hyperlink" Target="https://www.myntra.com/jeans/tokyo-talkies/tokyo-talkies-women-black-skinny-fit-mid-rise-clean-look-jeans/10641868/buy" TargetMode="External"/><Relationship Id="rId568" Type="http://schemas.openxmlformats.org/officeDocument/2006/relationships/hyperlink" Target="https://www.myntra.com/track-pants/hrx-by-hrithik-roshan/hrx-by-hrithik-roshan-women-black-pure-cotton-solid-track-pants-with-side-stripe-detail/4444122/buy" TargetMode="External"/><Relationship Id="rId775" Type="http://schemas.openxmlformats.org/officeDocument/2006/relationships/hyperlink" Target="https://www.myntra.com/trunk/xyxx/xyxx-men-pack-of-3-solid-ultra-soft-antimicrobial-micro-modal-trunks-xytrnk3pckn518-/13682898/buy" TargetMode="External"/><Relationship Id="rId982" Type="http://schemas.openxmlformats.org/officeDocument/2006/relationships/hyperlink" Target="https://www.myntra.com/jeans/mast--harbour/mast--harbour-women-blue-boyfriend-fit-high-rise-clean-look-stretchable-jeans/9444915/buy" TargetMode="External"/><Relationship Id="rId428" Type="http://schemas.openxmlformats.org/officeDocument/2006/relationships/hyperlink" Target="https://www.myntra.com/tops/her-by-invictus/her-by-invictus-black-polka-dots-pleated-top/7645398/buy" TargetMode="External"/><Relationship Id="rId635" Type="http://schemas.openxmlformats.org/officeDocument/2006/relationships/hyperlink" Target="https://www.myntra.com/dresses/tokyo-talkies/tokyo-talkies-women-black-solid-sheath-dress/13194602/buy" TargetMode="External"/><Relationship Id="rId842" Type="http://schemas.openxmlformats.org/officeDocument/2006/relationships/hyperlink" Target="https://www.myntra.com/bra/zivame/zivame-white-solid-non-wired-lightly-padded-t-shirt-bra-zi1137corewhite/5432681/buy" TargetMode="External"/><Relationship Id="rId274" Type="http://schemas.openxmlformats.org/officeDocument/2006/relationships/hyperlink" Target="https://www.myntra.com/jackets/roadster/roadster-women-blue-solid-denim-jacket/12178112/buy" TargetMode="External"/><Relationship Id="rId481" Type="http://schemas.openxmlformats.org/officeDocument/2006/relationships/hyperlink" Target="https://www.myntra.com/palazzos/juniper/juniper-women-maroon--gold-coloured-printed-flared-palazzos/11893114/buy" TargetMode="External"/><Relationship Id="rId702" Type="http://schemas.openxmlformats.org/officeDocument/2006/relationships/hyperlink" Target="https://www.myntra.com/tops/tokyo-talkies/tokyo-talkies-navy-blue--white-v-neck-striped-top/12111056/buy" TargetMode="External"/><Relationship Id="rId69" Type="http://schemas.openxmlformats.org/officeDocument/2006/relationships/hyperlink" Target="https://www.myntra.com/shirts/roadster/roadster-men-maroon-pure-cotton-sustainable-casual-shirt/11903990/buy" TargetMode="External"/><Relationship Id="rId134" Type="http://schemas.openxmlformats.org/officeDocument/2006/relationships/hyperlink" Target="https://www.myntra.com/tights/neu-look-fashion/neu-look-fashion-women-black--pink-colourblocked-gym-tights/14225120/buy" TargetMode="External"/><Relationship Id="rId579" Type="http://schemas.openxmlformats.org/officeDocument/2006/relationships/hyperlink" Target="https://www.myntra.com/tops/street-9/street-9-dusty-rose-embellished-peplum-top/7287261/buy" TargetMode="External"/><Relationship Id="rId786" Type="http://schemas.openxmlformats.org/officeDocument/2006/relationships/hyperlink" Target="https://www.myntra.com/trousers/wrogn/wrogn-men-black-slim-fit-solid-chinos/11560484/buy" TargetMode="External"/><Relationship Id="rId993" Type="http://schemas.openxmlformats.org/officeDocument/2006/relationships/hyperlink" Target="https://www.myntra.com/sarees/saree-mall/saree-mall-black--beige-printed-saree/10613148/buy" TargetMode="External"/><Relationship Id="rId341" Type="http://schemas.openxmlformats.org/officeDocument/2006/relationships/hyperlink" Target="https://www.myntra.com/trousers/ether/ether-women-blue-washed-denim-pure-cotton-joggers/1741886/buy" TargetMode="External"/><Relationship Id="rId439" Type="http://schemas.openxmlformats.org/officeDocument/2006/relationships/hyperlink" Target="https://www.myntra.com/shirts/roadster/roadster-men-navy-blue--red-striped-pure-cotton-sustainable-casual-shirt/10945090/buy" TargetMode="External"/><Relationship Id="rId646" Type="http://schemas.openxmlformats.org/officeDocument/2006/relationships/hyperlink" Target="https://www.myntra.com/tshirts/roadster/roadster-women-pack-of-2-colourblocked-t-shirts/17384184/buy" TargetMode="External"/><Relationship Id="rId201" Type="http://schemas.openxmlformats.org/officeDocument/2006/relationships/hyperlink" Target="https://www.myntra.com/jeggings/roadster/the-roadster-lifestyle-co-women-grey-washed-super-skinny-fit-mid-rise-clean-look-cropped-jeggings/10967486/buy" TargetMode="External"/><Relationship Id="rId285" Type="http://schemas.openxmlformats.org/officeDocument/2006/relationships/hyperlink" Target="https://www.myntra.com/tshirts/roadster/roadster-men-pink-melange-solid-round-neck-t-shirt/1996724/buy" TargetMode="External"/><Relationship Id="rId506" Type="http://schemas.openxmlformats.org/officeDocument/2006/relationships/hyperlink" Target="https://www.myntra.com/dresses/tokyo-talkies/tokyo-talkies-women-rose-lace-shirt-dress/10981590/buy" TargetMode="External"/><Relationship Id="rId853" Type="http://schemas.openxmlformats.org/officeDocument/2006/relationships/hyperlink" Target="https://www.myntra.com/socks/hrx-by-hrithik-roshan/hrx-by-hrithik-roshan-men-ankle-length-pack-of-3-quick-dry-socks/10986454/buy" TargetMode="External"/><Relationship Id="rId492" Type="http://schemas.openxmlformats.org/officeDocument/2006/relationships/hyperlink" Target="https://www.myntra.com/dresses/pluss/pluss-blue-striped-fit-and-flare-dress/7753715/buy" TargetMode="External"/><Relationship Id="rId713" Type="http://schemas.openxmlformats.org/officeDocument/2006/relationships/hyperlink" Target="https://www.myntra.com/shirts/mast--harbour/mast--harbour-men-beige--grey-slim-fit-checked-sustainable-casual-shirt/2077208/buy" TargetMode="External"/><Relationship Id="rId797" Type="http://schemas.openxmlformats.org/officeDocument/2006/relationships/hyperlink" Target="https://www.myntra.com/tops/hm/hm-2-pack-vest-sustainable-pure-cotton-tops/10367061/buy" TargetMode="External"/><Relationship Id="rId920" Type="http://schemas.openxmlformats.org/officeDocument/2006/relationships/hyperlink" Target="https://www.myntra.com/trousers/roadster/roadster-men-navy-blue-slim-fit-pure-cotton-sustainable-chinos/2119005/buy" TargetMode="External"/><Relationship Id="rId145" Type="http://schemas.openxmlformats.org/officeDocument/2006/relationships/hyperlink" Target="https://www.myntra.com/tshirts/herenow/herenow-men-red--black-cotton-printed-detail-round-neck-t-shirt/12817380/buy" TargetMode="External"/><Relationship Id="rId352" Type="http://schemas.openxmlformats.org/officeDocument/2006/relationships/hyperlink" Target="https://www.myntra.com/trousers/roadster/roadster-men-grey-regular-fit-solid-trousers/13859292/buy" TargetMode="External"/><Relationship Id="rId212" Type="http://schemas.openxmlformats.org/officeDocument/2006/relationships/hyperlink" Target="https://www.myntra.com/shirts/roadster/roadster-men-teal-blue-regular-fit-solid-sustainable-casual-shirt/11895996/buy" TargetMode="External"/><Relationship Id="rId657" Type="http://schemas.openxmlformats.org/officeDocument/2006/relationships/hyperlink" Target="https://www.myntra.com/shirts/campus-sutra/campus-sutra-men-blue--grey-regular-fit-colourblocked-casual-shirt/2012863/buy" TargetMode="External"/><Relationship Id="rId864" Type="http://schemas.openxmlformats.org/officeDocument/2006/relationships/hyperlink" Target="https://www.myntra.com/briefs/zivame/zivame-beige-solid-boy-shorts-zi60b8core0skin/12398628/buy" TargetMode="External"/><Relationship Id="rId296" Type="http://schemas.openxmlformats.org/officeDocument/2006/relationships/hyperlink" Target="https://www.myntra.com/kurtas/kipek/kipek-women-teal-blue--golden-printed-anarkali-kurta-with-dupatta/12015554/buy" TargetMode="External"/><Relationship Id="rId517" Type="http://schemas.openxmlformats.org/officeDocument/2006/relationships/hyperlink" Target="https://www.myntra.com/tshirts/kook-n-keech/kook-n-keech-women-white-graphic-printed-cotton-pure-cotton-t-shirt/12104196/buy" TargetMode="External"/><Relationship Id="rId724" Type="http://schemas.openxmlformats.org/officeDocument/2006/relationships/hyperlink" Target="https://www.myntra.com/kurtas/sangria/sangria-women-pink-printed-tiered-anarkali-kurta/8350119/buy" TargetMode="External"/><Relationship Id="rId931" Type="http://schemas.openxmlformats.org/officeDocument/2006/relationships/hyperlink" Target="https://www.myntra.com/night-suits/boston-club/boston-club-women-navy-blue--pink-printed-night-suit/13567602/buy" TargetMode="External"/><Relationship Id="rId60" Type="http://schemas.openxmlformats.org/officeDocument/2006/relationships/hyperlink" Target="https://www.myntra.com/shirts/highlander/highlander-men-navy--off-white-slim-fit-checked-casual-shirt/2429098/buy" TargetMode="External"/><Relationship Id="rId156" Type="http://schemas.openxmlformats.org/officeDocument/2006/relationships/hyperlink" Target="https://www.myntra.com/tshirts/wrogn/wrogn-men-black--white-placement-printed-round-neck-t-shirt/11363214/buy" TargetMode="External"/><Relationship Id="rId363" Type="http://schemas.openxmlformats.org/officeDocument/2006/relationships/hyperlink" Target="https://www.myntra.com/tshirts/roadster/roadster-women-pack-of-2-pure-cotton-t-shirts/17381472/buy" TargetMode="External"/><Relationship Id="rId570" Type="http://schemas.openxmlformats.org/officeDocument/2006/relationships/hyperlink" Target="https://www.myntra.com/dresses/sassafras/sassafras-green--pink-floral-printed-wrap-dress/10856364/buy" TargetMode="External"/><Relationship Id="rId223" Type="http://schemas.openxmlformats.org/officeDocument/2006/relationships/hyperlink" Target="https://www.myntra.com/tshirts/roadster/roadster-women-pack-of-2-printed-cotton-t-shirt/17385112/buy" TargetMode="External"/><Relationship Id="rId430" Type="http://schemas.openxmlformats.org/officeDocument/2006/relationships/hyperlink" Target="https://www.myntra.com/kurtas/sangria/sangria-women-black--white-printed-straight-kurta/10560802/buy" TargetMode="External"/><Relationship Id="rId668" Type="http://schemas.openxmlformats.org/officeDocument/2006/relationships/hyperlink" Target="https://www.myntra.com/jeggings/dressberry/dressberry-women-pack-of-2-solid-super-skinny-fit-ankle-length-denim-jeggings/9657187/buy" TargetMode="External"/><Relationship Id="rId875" Type="http://schemas.openxmlformats.org/officeDocument/2006/relationships/hyperlink" Target="https://www.myntra.com/tshirts/dressberry/dressberry-women-pack-of-2-solid-pure-cotton-t-shirts/17476318/buy" TargetMode="External"/><Relationship Id="rId18" Type="http://schemas.openxmlformats.org/officeDocument/2006/relationships/hyperlink" Target="https://www.myntra.com/kurta-sets/sangria/sangria-women-green--off-white-printed-kurta-with-palazzos--dupatta/10561392/buy" TargetMode="External"/><Relationship Id="rId528" Type="http://schemas.openxmlformats.org/officeDocument/2006/relationships/hyperlink" Target="https://www.myntra.com/jeans/roadster/roadster-women-navy-blue-skinny-fit-mid-rise-high-rise-clean-look-jeans/11118422/buy" TargetMode="External"/><Relationship Id="rId735" Type="http://schemas.openxmlformats.org/officeDocument/2006/relationships/hyperlink" Target="https://www.myntra.com/tshirts/mast--harbour/mast--harbour-women-mustard-yellow-printed-round-neck-t-shirt/2224781/buy" TargetMode="External"/><Relationship Id="rId942" Type="http://schemas.openxmlformats.org/officeDocument/2006/relationships/hyperlink" Target="https://www.myntra.com/kurtas/sangria/sangria-women-blue-solid-a-line-kurta/8350403/buy" TargetMode="External"/><Relationship Id="rId167" Type="http://schemas.openxmlformats.org/officeDocument/2006/relationships/hyperlink" Target="https://www.myntra.com/sweatshirts/hm/hm-men-grey-relaxed-fit-sweatshirt/16324984/buy" TargetMode="External"/><Relationship Id="rId374" Type="http://schemas.openxmlformats.org/officeDocument/2006/relationships/hyperlink" Target="https://www.myntra.com/trousers/highlander/highlander-men-navy-blue-tapered-fit-chinos/2290042/buy" TargetMode="External"/><Relationship Id="rId581" Type="http://schemas.openxmlformats.org/officeDocument/2006/relationships/hyperlink" Target="https://www.myntra.com/dupatta/taavi/taavi-women-black--grey-hand-block-print-sustainable-pure-cotton-dupatta/9345953/buy" TargetMode="External"/><Relationship Id="rId71" Type="http://schemas.openxmlformats.org/officeDocument/2006/relationships/hyperlink" Target="https://www.myntra.com/tops/herenow/herenow-women-blue-schifilli-embroidered-pure-cotton-top/12650884/buy" TargetMode="External"/><Relationship Id="rId234" Type="http://schemas.openxmlformats.org/officeDocument/2006/relationships/hyperlink" Target="https://www.myntra.com/tshirts/roadster/roadster-women-pack-of-2-solid-pure-cotton-t-shirts/17381526/buy" TargetMode="External"/><Relationship Id="rId679" Type="http://schemas.openxmlformats.org/officeDocument/2006/relationships/hyperlink" Target="https://www.myntra.com/tshirts/wrogn/wrogn-men-burgundy-solid-polo-collar-t-shirt/11363908/buy" TargetMode="External"/><Relationship Id="rId802" Type="http://schemas.openxmlformats.org/officeDocument/2006/relationships/hyperlink" Target="https://www.myntra.com/dresses/herenow/herenow-black-high-neck-bodycon-dress/12016078/buy" TargetMode="External"/><Relationship Id="rId886" Type="http://schemas.openxmlformats.org/officeDocument/2006/relationships/hyperlink" Target="https://www.myntra.com/dresses/herenow/herenow-white--pink-lightweight-cotton-floral-print-fit--flare-dress/2056708/buy" TargetMode="External"/><Relationship Id="rId2" Type="http://schemas.openxmlformats.org/officeDocument/2006/relationships/hyperlink" Target="https://www.myntra.com/track-pants/locomotive/locomotive-men-black--white-solid-slim-fit-track-pants/13780156/buy" TargetMode="External"/><Relationship Id="rId29" Type="http://schemas.openxmlformats.org/officeDocument/2006/relationships/hyperlink" Target="https://www.myntra.com/kurtas/sangria/sangria-women-black--green-printed-straight-kurta/11173948/buy" TargetMode="External"/><Relationship Id="rId441" Type="http://schemas.openxmlformats.org/officeDocument/2006/relationships/hyperlink" Target="https://www.myntra.com/kurtas/vishudh/vishudh-women-peach-coloured-checked-straight-kurta/10074627/buy" TargetMode="External"/><Relationship Id="rId539" Type="http://schemas.openxmlformats.org/officeDocument/2006/relationships/hyperlink" Target="https://www.myntra.com/jeans/tokyo-talkies/tokyo-talkies-women-black-super-skinny-fit-mid-rise-clean-look-stretchable-jeans/8083185/buy" TargetMode="External"/><Relationship Id="rId746" Type="http://schemas.openxmlformats.org/officeDocument/2006/relationships/hyperlink" Target="https://www.myntra.com/shirts/highlander/highlander-men-orange--peach-coloured-slim-fit-solid-casual-shirt/6012712/buy" TargetMode="External"/><Relationship Id="rId178" Type="http://schemas.openxmlformats.org/officeDocument/2006/relationships/hyperlink" Target="https://www.myntra.com/dresses/athena/athena-nude-coloured-sheath-dress/12956584/buy" TargetMode="External"/><Relationship Id="rId301" Type="http://schemas.openxmlformats.org/officeDocument/2006/relationships/hyperlink" Target="https://www.myntra.com/tshirts/kook-n-keech/kook-n-keech-women-black-printed-round-neck-t-shirt/2414666/buy" TargetMode="External"/><Relationship Id="rId953" Type="http://schemas.openxmlformats.org/officeDocument/2006/relationships/hyperlink" Target="https://www.myntra.com/sarees/kalini/kalini-pink--mustard-yellow-ethnic-motifs-woven-design-half--half-kanjeevaram-saree/14879588/buy" TargetMode="External"/><Relationship Id="rId82" Type="http://schemas.openxmlformats.org/officeDocument/2006/relationships/hyperlink" Target="https://www.myntra.com/tops/herenow/herenow-black-ethnic-motifs-a-line-top/7102379/buy" TargetMode="External"/><Relationship Id="rId385" Type="http://schemas.openxmlformats.org/officeDocument/2006/relationships/hyperlink" Target="https://www.myntra.com/kurtas/anouk/anouk-men-navy-blue-solid-straight-kurta/10803222/buy" TargetMode="External"/><Relationship Id="rId592" Type="http://schemas.openxmlformats.org/officeDocument/2006/relationships/hyperlink" Target="https://www.myntra.com/tops/roadster/roadster-women-maroon-solid-sustainable-top/10964434/buy" TargetMode="External"/><Relationship Id="rId606" Type="http://schemas.openxmlformats.org/officeDocument/2006/relationships/hyperlink" Target="https://www.myntra.com/tshirts/hypernation/hypernation-men-black-solid-high-neck-t-shirt/8255921/buy" TargetMode="External"/><Relationship Id="rId813" Type="http://schemas.openxmlformats.org/officeDocument/2006/relationships/hyperlink" Target="https://www.myntra.com/socks/levis/levis-men-set-of-3-shoeliners/2075643/buy" TargetMode="External"/><Relationship Id="rId245" Type="http://schemas.openxmlformats.org/officeDocument/2006/relationships/hyperlink" Target="https://www.myntra.com/tops/herenow/herenow-women-white--green-printed-a-line-top/2163307/buy" TargetMode="External"/><Relationship Id="rId452" Type="http://schemas.openxmlformats.org/officeDocument/2006/relationships/hyperlink" Target="https://www.myntra.com/jeans/tokyo-talkies/tokyo-talkies-women-navy-blue-slim-fit-mid-rise-clean-look-stretchable-jeans/12876646/buy" TargetMode="External"/><Relationship Id="rId897" Type="http://schemas.openxmlformats.org/officeDocument/2006/relationships/hyperlink" Target="https://www.myntra.com/shirts/mast--harbour/mast--harbour-men-magenta--orange-checked-pure-cotton-sustainable-casual-shirt/11194956/buy" TargetMode="External"/><Relationship Id="rId105" Type="http://schemas.openxmlformats.org/officeDocument/2006/relationships/hyperlink" Target="https://www.myntra.com/kurtas/moda-rapido/moda-rapido-women-white--blue-printed-straight-kurta/2000035/buy" TargetMode="External"/><Relationship Id="rId312" Type="http://schemas.openxmlformats.org/officeDocument/2006/relationships/hyperlink" Target="https://www.myntra.com/tshirts/roadster/roadster-men-navy--maroon-striped-henley-t-shirt/2388302/buy" TargetMode="External"/><Relationship Id="rId757" Type="http://schemas.openxmlformats.org/officeDocument/2006/relationships/hyperlink" Target="https://www.myntra.com/dresses/pluss/pluss-green-floral-a-line-dress/14059226/buy" TargetMode="External"/><Relationship Id="rId964" Type="http://schemas.openxmlformats.org/officeDocument/2006/relationships/hyperlink" Target="https://www.myntra.com/tops/pluss/pluss-sea-green-cinched-waist-top/2468600/buy" TargetMode="External"/><Relationship Id="rId93" Type="http://schemas.openxmlformats.org/officeDocument/2006/relationships/hyperlink" Target="https://www.myntra.com/jeans/roadster/roadster-women-blue-skinny-fit-high-rise-clean-look-stretchable-cropped-jeans/11541522/buy" TargetMode="External"/><Relationship Id="rId189" Type="http://schemas.openxmlformats.org/officeDocument/2006/relationships/hyperlink" Target="https://www.myntra.com/sarees/saree-mall/saree-mall-mauve--red-organza-block-print-saree/13901198/buy" TargetMode="External"/><Relationship Id="rId396" Type="http://schemas.openxmlformats.org/officeDocument/2006/relationships/hyperlink" Target="https://www.myntra.com/tops/miss-chase/miss-chase-pink-floral-printed-tie-up-neck-crepe-maxi-longline-top/13916976/buy" TargetMode="External"/><Relationship Id="rId617" Type="http://schemas.openxmlformats.org/officeDocument/2006/relationships/hyperlink" Target="https://www.myntra.com/dresses/all-about-you/all-about-you-classy-beige-floral-printed-pure-cotton-waisted-dress/13205322/buy" TargetMode="External"/><Relationship Id="rId824" Type="http://schemas.openxmlformats.org/officeDocument/2006/relationships/hyperlink" Target="https://www.myntra.com/shirts/roadster/the-roadster-lifestyle-co-women-white-regular-fit-solid-casual-shirt/9656251/buy" TargetMode="External"/><Relationship Id="rId256" Type="http://schemas.openxmlformats.org/officeDocument/2006/relationships/hyperlink" Target="https://www.myntra.com/jeans/roadster/roadster-men-blue-skinny-fit-low-rise-clean-look-stretchable-jeans/8962443/buy" TargetMode="External"/><Relationship Id="rId463" Type="http://schemas.openxmlformats.org/officeDocument/2006/relationships/hyperlink" Target="https://www.myntra.com/bra/enamor/enamor-light-pink-non-wired-non-padded-full-coverage-everyday-tshirt-bra-a027-/11818414/buy" TargetMode="External"/><Relationship Id="rId670" Type="http://schemas.openxmlformats.org/officeDocument/2006/relationships/hyperlink" Target="https://www.myntra.com/track-pants/hrx-by-hrithik-roshan/hrx-by-hrithik-roshan-men-grey-melange-solid-rapid-dry-training-joggers/7695798/buy" TargetMode="External"/><Relationship Id="rId116" Type="http://schemas.openxmlformats.org/officeDocument/2006/relationships/hyperlink" Target="https://www.myntra.com/skirts/roadster/roadster-blue-washed-denim-straight-skirt/11489602/buy" TargetMode="External"/><Relationship Id="rId323" Type="http://schemas.openxmlformats.org/officeDocument/2006/relationships/hyperlink" Target="https://www.myntra.com/tshirts/moda-rapido/moda-rapido-women-pink-printed-round-neck-pure-cotton-t-shirt/9705197/buy" TargetMode="External"/><Relationship Id="rId530" Type="http://schemas.openxmlformats.org/officeDocument/2006/relationships/hyperlink" Target="https://www.myntra.com/trousers/invictus/invictus-navy-slim-fit-formal-trousers/1199569/buy" TargetMode="External"/><Relationship Id="rId768" Type="http://schemas.openxmlformats.org/officeDocument/2006/relationships/hyperlink" Target="https://www.myntra.com/tshirts/kook-n-keech/kook-n-keech-men-multicoloured-striped-round-neck-high-low-hem-pure-cotton-t-shirt/8923763/buy" TargetMode="External"/><Relationship Id="rId975" Type="http://schemas.openxmlformats.org/officeDocument/2006/relationships/hyperlink" Target="https://www.myntra.com/tshirts/roadster/the-roadster-lifestyle-co-women-rose-solid-round-neck-pure-cotton-t-shirt/13594612/buy" TargetMode="External"/><Relationship Id="rId20" Type="http://schemas.openxmlformats.org/officeDocument/2006/relationships/hyperlink" Target="https://www.myntra.com/tshirts/dressberry/dressberry-women-lovely-olive-typography-talking-tee/2522986/buy" TargetMode="External"/><Relationship Id="rId628" Type="http://schemas.openxmlformats.org/officeDocument/2006/relationships/hyperlink" Target="https://www.myntra.com/jeans/tokyo-talkies/tokyo-talkies-women-blue-tapered-fit-mid-rise-clean-look-stretchable-jeans/9845435/buy" TargetMode="External"/><Relationship Id="rId835" Type="http://schemas.openxmlformats.org/officeDocument/2006/relationships/hyperlink" Target="https://www.myntra.com/jeans/wrogn/wrogn-men-blue-skinny-fit-mid-rise-clean-look-stretchable-jeans/2032838/buy" TargetMode="External"/><Relationship Id="rId267" Type="http://schemas.openxmlformats.org/officeDocument/2006/relationships/hyperlink" Target="https://www.myntra.com/tops/tokyo-talkies/tokyo-talkies-women-taupe-printed-top/8195047/buy" TargetMode="External"/><Relationship Id="rId474" Type="http://schemas.openxmlformats.org/officeDocument/2006/relationships/hyperlink" Target="https://www.myntra.com/dresses/ahalyaa/ahalyaa-green-ethnic-motifs-printed-maxi-dress/7193789/buy" TargetMode="External"/><Relationship Id="rId127" Type="http://schemas.openxmlformats.org/officeDocument/2006/relationships/hyperlink" Target="https://www.myntra.com/tshirts/mast--harbour/mast--harbour-women-off-white-printed-round-neck-t-shirt/7140521/buy" TargetMode="External"/><Relationship Id="rId681" Type="http://schemas.openxmlformats.org/officeDocument/2006/relationships/hyperlink" Target="https://www.myntra.com/jackets/roadster/roadster-men-navy-blue-solid-denim-jacket/10617856/buy" TargetMode="External"/><Relationship Id="rId779" Type="http://schemas.openxmlformats.org/officeDocument/2006/relationships/hyperlink" Target="https://www.myntra.com/tshirts/roadster/the-roadster-lifestyle-co-women-mustard-yellow-solid-round-neck-pure-cotton-t-shirt/10778666/buy" TargetMode="External"/><Relationship Id="rId902" Type="http://schemas.openxmlformats.org/officeDocument/2006/relationships/hyperlink" Target="https://www.myntra.com/tshirts/roadster/roadster-women-rust-brown--dusty-pink-pack-of-2-printed-drop-shoulder-sleeves-t-shirts/17383580/buy" TargetMode="External"/><Relationship Id="rId986" Type="http://schemas.openxmlformats.org/officeDocument/2006/relationships/hyperlink" Target="https://www.myntra.com/kurtas/sangria/sangria-women-blue--magenta-pure-cotton-printed-straight-kurta/13249428/buy" TargetMode="External"/><Relationship Id="rId31" Type="http://schemas.openxmlformats.org/officeDocument/2006/relationships/hyperlink" Target="https://www.myntra.com/tshirts/roadster/roadster-women-green--teal-green-pack-of-2-printed-round-neck-t-shirts/17383362/buy" TargetMode="External"/><Relationship Id="rId334" Type="http://schemas.openxmlformats.org/officeDocument/2006/relationships/hyperlink" Target="https://www.myntra.com/jackets/wrogn/wrogn-men-brown-solid-biker-jacket/6832181/buy" TargetMode="External"/><Relationship Id="rId541" Type="http://schemas.openxmlformats.org/officeDocument/2006/relationships/hyperlink" Target="https://www.myntra.com/leggings/twin-birds/twin-birds-women-black-solid-plus-ankle-length-leggings/11902186/buy" TargetMode="External"/><Relationship Id="rId639" Type="http://schemas.openxmlformats.org/officeDocument/2006/relationships/hyperlink" Target="https://www.myntra.com/tshirts/wrogn/wrogn-men-rust-orange--black-striped-slim-fit-round-neck-pure-cotton-t-shirt/11363752/buy" TargetMode="External"/><Relationship Id="rId180" Type="http://schemas.openxmlformats.org/officeDocument/2006/relationships/hyperlink" Target="https://www.myntra.com/kurtas/anouk/anouk-women-green--gold-toned-floral-printed-straight-kurta/10416940/buy" TargetMode="External"/><Relationship Id="rId278" Type="http://schemas.openxmlformats.org/officeDocument/2006/relationships/hyperlink" Target="https://www.myntra.com/jackets/street-9/street-9-women-blue-solid-satin-bomber-jacket/7772555/buy" TargetMode="External"/><Relationship Id="rId401" Type="http://schemas.openxmlformats.org/officeDocument/2006/relationships/hyperlink" Target="https://www.myntra.com/lounge-pants/domyos-by-decathlon/domyos-by-decathlon-women-grey-pink-solid-regular-fit-organic-cotton-yoga-pants/12965938/buy" TargetMode="External"/><Relationship Id="rId846" Type="http://schemas.openxmlformats.org/officeDocument/2006/relationships/hyperlink" Target="https://www.myntra.com/trousers/mast--harbour/mast--harbour-men-black-regular-fit-solid-chinos/13204530/buy" TargetMode="External"/><Relationship Id="rId485" Type="http://schemas.openxmlformats.org/officeDocument/2006/relationships/hyperlink" Target="https://www.myntra.com/tshirts/maniac/maniac-men-yellow--navy-blue-printed-round-neck-pure-cotton-t-shirt/9256769/buy" TargetMode="External"/><Relationship Id="rId692" Type="http://schemas.openxmlformats.org/officeDocument/2006/relationships/hyperlink" Target="https://www.myntra.com/tshirts/roadster/roadster-women-burgundy-solid-round-neck-t-shirt/10778702/buy" TargetMode="External"/><Relationship Id="rId706" Type="http://schemas.openxmlformats.org/officeDocument/2006/relationships/hyperlink" Target="https://www.myntra.com/shirts/mast--harbour/mast--harbour-men-olive-green--regular-fit-solid--casual-linen-sustainable-shirt/2310135/buy" TargetMode="External"/><Relationship Id="rId913" Type="http://schemas.openxmlformats.org/officeDocument/2006/relationships/hyperlink" Target="https://www.myntra.com/shorts/tokyo-talkies/tokyo-talkies-women-lavender-solid-regular-fit-cotton-sports-shorts/14063010/buy" TargetMode="External"/><Relationship Id="rId42" Type="http://schemas.openxmlformats.org/officeDocument/2006/relationships/hyperlink" Target="https://www.myntra.com/tights/hrx-by-hrithik-roshan/hrx-by-hrithik-roshan-black-self-striped-seamless-rapid-dry-yoga-tights/11245584/buy" TargetMode="External"/><Relationship Id="rId138" Type="http://schemas.openxmlformats.org/officeDocument/2006/relationships/hyperlink" Target="https://www.myntra.com/kurtas/varanga/varanga-women-yellow--peach-coloured-floral-screen-printed-gotta-patti-straight-kurta/15241816/buy" TargetMode="External"/><Relationship Id="rId345" Type="http://schemas.openxmlformats.org/officeDocument/2006/relationships/hyperlink" Target="https://www.myntra.com/shorts/hrx-by-hrithik-roshan/hrx-by-hrithik-roshan-women-moonlit-ocean-solid-regular-fit-rapid-dry-running-shorts/11357430/buy" TargetMode="External"/><Relationship Id="rId552" Type="http://schemas.openxmlformats.org/officeDocument/2006/relationships/hyperlink" Target="https://www.myntra.com/jeans/herenow/herenow-men-grey-slim-tapered-fit-mid-rise-clean-look-stretchable-cropped-jeans/12183976/buy" TargetMode="External"/><Relationship Id="rId997" Type="http://schemas.openxmlformats.org/officeDocument/2006/relationships/hyperlink" Target="https://www.myntra.com/tshirts/hrx-by-hrithik-roshan/hrx-by-hrithik-roshan-men-teal-blue-printed-round-neck-athleisure-pure-cotton-t-shirt/6825447/buy" TargetMode="External"/><Relationship Id="rId191" Type="http://schemas.openxmlformats.org/officeDocument/2006/relationships/hyperlink" Target="https://www.myntra.com/stockings/lebami/lebami-women-black-solid-stockings/7739835/buy" TargetMode="External"/><Relationship Id="rId205" Type="http://schemas.openxmlformats.org/officeDocument/2006/relationships/hyperlink" Target="https://www.myntra.com/kurtas/vishudh/vishudh-women-mustard-yellow-printed-a-line-kurta/11897388/buy" TargetMode="External"/><Relationship Id="rId412" Type="http://schemas.openxmlformats.org/officeDocument/2006/relationships/hyperlink" Target="https://www.myntra.com/tshirts/roadster/roadster-women-pack-of-2-solid-t-shirts/17381454/buy" TargetMode="External"/><Relationship Id="rId857" Type="http://schemas.openxmlformats.org/officeDocument/2006/relationships/hyperlink" Target="https://www.myntra.com/briefs/lady-lyka/lady-lyka-pack-of-3-printed-hipster-high-rise-pure-cotton-briefs-galaxy-3/14028894/buy" TargetMode="External"/><Relationship Id="rId289" Type="http://schemas.openxmlformats.org/officeDocument/2006/relationships/hyperlink" Target="https://www.myntra.com/briefs/c9-airwear/c9-airwear-women-pack-of-3-solid-bikini-briefs-p1174/13038032/buy" TargetMode="External"/><Relationship Id="rId496" Type="http://schemas.openxmlformats.org/officeDocument/2006/relationships/hyperlink" Target="https://www.myntra.com/shirts/roadster/roadster-men-blue-pure-cotton-washed-denim-sustainable-shirt/1376192/buy" TargetMode="External"/><Relationship Id="rId717" Type="http://schemas.openxmlformats.org/officeDocument/2006/relationships/hyperlink" Target="https://www.myntra.com/tshirts/mast--harbour/mast--harbour-women-pack-of-2-cotton-t-shirts/17524572/buy" TargetMode="External"/><Relationship Id="rId924" Type="http://schemas.openxmlformats.org/officeDocument/2006/relationships/hyperlink" Target="https://www.myntra.com/sweatshirts/kook-n-keech/kook-n-keech-men-red--white-colourblocked-sweatshirt/2118953/buy" TargetMode="External"/><Relationship Id="rId53" Type="http://schemas.openxmlformats.org/officeDocument/2006/relationships/hyperlink" Target="https://www.myntra.com/jeans/roadster/roadster-women-stunning-blue-boyfriend-fit-jeans/11045880/buy" TargetMode="External"/><Relationship Id="rId149" Type="http://schemas.openxmlformats.org/officeDocument/2006/relationships/hyperlink" Target="https://www.myntra.com/tops/roadster/the-roadster-lifestyle-co-black-top-with-side-stripes/10856446/buy" TargetMode="External"/><Relationship Id="rId356" Type="http://schemas.openxmlformats.org/officeDocument/2006/relationships/hyperlink" Target="https://www.myntra.com/jumpsuit/tokyo-talkies/tokyo-talkies-women-black-solid-basic-jumpsuit/12033996/buy" TargetMode="External"/><Relationship Id="rId563" Type="http://schemas.openxmlformats.org/officeDocument/2006/relationships/hyperlink" Target="https://www.myntra.com/sweatshirts/campus-sutra/campus-sutra-men-mustard-yellow-printed-hooded-sweatshirt/13070348/buy" TargetMode="External"/><Relationship Id="rId770" Type="http://schemas.openxmlformats.org/officeDocument/2006/relationships/hyperlink" Target="https://www.myntra.com/kurtas/vishudh/vishudh-women-navy-printed-a-line-kurta/2076190/buy" TargetMode="External"/><Relationship Id="rId216" Type="http://schemas.openxmlformats.org/officeDocument/2006/relationships/hyperlink" Target="https://www.myntra.com/tshirts/roadster/roadster-men-sea-green-solid-polo-collar-t-shirt/12123128/buy" TargetMode="External"/><Relationship Id="rId423" Type="http://schemas.openxmlformats.org/officeDocument/2006/relationships/hyperlink" Target="https://www.myntra.com/socks/mast--harbour/mast--harbour-men-pack-of-3-shoeliners/10986404/buy" TargetMode="External"/><Relationship Id="rId868" Type="http://schemas.openxmlformats.org/officeDocument/2006/relationships/hyperlink" Target="https://www.myntra.com/tops/pluss/pluss-women-green-solid-top/2299528/buy" TargetMode="External"/><Relationship Id="rId630" Type="http://schemas.openxmlformats.org/officeDocument/2006/relationships/hyperlink" Target="https://www.myntra.com/kurta-sets/deyann/deyann-men-blue--cream-coloured-self-design-kurta-with-pyjamas/6518651/buy" TargetMode="External"/><Relationship Id="rId728" Type="http://schemas.openxmlformats.org/officeDocument/2006/relationships/hyperlink" Target="https://www.myntra.com/tshirts/mast--harbour/mast--harbour-women-blue-solid-round-neck-t-shirt/11700056/buy" TargetMode="External"/><Relationship Id="rId935" Type="http://schemas.openxmlformats.org/officeDocument/2006/relationships/hyperlink" Target="https://www.myntra.com/sweaters/roadster/roadster-women-black--white-checked-pullover/5447367/buy" TargetMode="External"/><Relationship Id="rId64" Type="http://schemas.openxmlformats.org/officeDocument/2006/relationships/hyperlink" Target="https://www.myntra.com/tops/roadster/the-roadster-lifestyle-co-women-black-striped-top/10856472/buy" TargetMode="External"/><Relationship Id="rId367" Type="http://schemas.openxmlformats.org/officeDocument/2006/relationships/hyperlink" Target="https://www.myntra.com/jeans/mast--harbour/mast--harbour-men-navy-blue-skinny-fit-mid-rise-low-distress-stretchable-jeans/13077152/buy" TargetMode="External"/><Relationship Id="rId574" Type="http://schemas.openxmlformats.org/officeDocument/2006/relationships/hyperlink" Target="https://www.myntra.com/kurtas/anayna/anayna-women-lime-green--off-white-bandhani-screen-print-cotton-angrakha-kurta/13932876/buy" TargetMode="External"/><Relationship Id="rId227" Type="http://schemas.openxmlformats.org/officeDocument/2006/relationships/hyperlink" Target="https://www.myntra.com/jeans/herenow/herenow-women-blue-skinny-fit-high-rise-clean-look-stretchable-cropped-jeans/12545646/buy" TargetMode="External"/><Relationship Id="rId781" Type="http://schemas.openxmlformats.org/officeDocument/2006/relationships/hyperlink" Target="https://www.myntra.com/tshirts/wrogn/wrogn-men-black--red-printed-round-neck-pure-cotton-t-shirt/11363358/buy" TargetMode="External"/><Relationship Id="rId879" Type="http://schemas.openxmlformats.org/officeDocument/2006/relationships/hyperlink" Target="https://www.myntra.com/leggings/twin-birds/twin-birds-women-white-solid-ankle-length-leggings/11244106/buy" TargetMode="External"/><Relationship Id="rId434" Type="http://schemas.openxmlformats.org/officeDocument/2006/relationships/hyperlink" Target="https://www.myntra.com/jeans/wrogn/wrogn-men-blue-tapered-fit-mid-rise-clean-look-stretchable-cropped-jeans/10187343/buy" TargetMode="External"/><Relationship Id="rId641" Type="http://schemas.openxmlformats.org/officeDocument/2006/relationships/hyperlink" Target="https://www.myntra.com/kurtas/anouk/anouk-women-olive-green-antiviral-finish-geometric-print-pure-cotton-straight-kurta/12135064/buy" TargetMode="External"/><Relationship Id="rId739" Type="http://schemas.openxmlformats.org/officeDocument/2006/relationships/hyperlink" Target="https://www.myntra.com/tshirts/ether/ether-men-navy-striped-t-shirt/1460195/buy" TargetMode="External"/><Relationship Id="rId280" Type="http://schemas.openxmlformats.org/officeDocument/2006/relationships/hyperlink" Target="https://www.myntra.com/tops/tokyo-talkies/tokyo-talkies-navy-blue--white-vertical-striped-top/12009564/buy" TargetMode="External"/><Relationship Id="rId501" Type="http://schemas.openxmlformats.org/officeDocument/2006/relationships/hyperlink" Target="https://www.myntra.com/shirts/highlander/highlander-men-black-slim-fit-casual-shirt/12027774/buy" TargetMode="External"/><Relationship Id="rId946" Type="http://schemas.openxmlformats.org/officeDocument/2006/relationships/hyperlink" Target="https://www.myntra.com/tshirts/wrogn/wrogn-men-blue-slim-fit-colourblocked-round-neck-pure-cotton-t-shirt/11363666/buy" TargetMode="External"/><Relationship Id="rId75" Type="http://schemas.openxmlformats.org/officeDocument/2006/relationships/hyperlink" Target="https://www.myntra.com/shirts/roadster/roadster-men-grey-printed-pure-cotton-sustainable-casual-shirt/7256007/buy" TargetMode="External"/><Relationship Id="rId140" Type="http://schemas.openxmlformats.org/officeDocument/2006/relationships/hyperlink" Target="https://www.myntra.com/shirts/kook-n-keech/kook-n-keech-women-black-regular-fit-printed-casual-shirt/2371017/buy" TargetMode="External"/><Relationship Id="rId378" Type="http://schemas.openxmlformats.org/officeDocument/2006/relationships/hyperlink" Target="https://www.myntra.com/tshirts/roadster/roadster-men-blue--white-striped-round-neck-pure-cotton-t-shirt/8829435/buy" TargetMode="External"/><Relationship Id="rId585" Type="http://schemas.openxmlformats.org/officeDocument/2006/relationships/hyperlink" Target="https://www.myntra.com/tshirts/roadster/roadster-women-pack-of-2-pure-cotton-t-shirts/17384032/buy" TargetMode="External"/><Relationship Id="rId792" Type="http://schemas.openxmlformats.org/officeDocument/2006/relationships/hyperlink" Target="https://www.myntra.com/tshirts/roadster/roadster-women-pack-of-2-pure-cotton-typography-print-t-shirts/17384836/buy" TargetMode="External"/><Relationship Id="rId806" Type="http://schemas.openxmlformats.org/officeDocument/2006/relationships/hyperlink" Target="https://www.myntra.com/trousers/highlander/highlander-men-blue--grey-slim-fit-checked-regular-trousers/10004171/buy" TargetMode="External"/><Relationship Id="rId6" Type="http://schemas.openxmlformats.org/officeDocument/2006/relationships/hyperlink" Target="https://www.myntra.com/tops/mast--harbour/mast--harbour-women-yellow-solid-tank-top/2490950/buy" TargetMode="External"/><Relationship Id="rId238" Type="http://schemas.openxmlformats.org/officeDocument/2006/relationships/hyperlink" Target="https://www.myntra.com/tshirts/mast--harbour/mast--harbour-men-blue-striped-round-neck-pure-cotton-t-shirt/8301975/buy" TargetMode="External"/><Relationship Id="rId445" Type="http://schemas.openxmlformats.org/officeDocument/2006/relationships/hyperlink" Target="https://www.myntra.com/shorts/hrx-by-hrithik-roshan/hrx-by-hrithik-roshan-women-red-rapid-dry-yoga-seamless-shorts/10106535/buy" TargetMode="External"/><Relationship Id="rId652" Type="http://schemas.openxmlformats.org/officeDocument/2006/relationships/hyperlink" Target="https://www.myntra.com/dresses/herenow/herenow-women-maroon-printed-maxi-dress/2499823/buy" TargetMode="External"/><Relationship Id="rId291" Type="http://schemas.openxmlformats.org/officeDocument/2006/relationships/hyperlink" Target="https://www.myntra.com/jackets/domyos-by-decathlon/domyos-by-decathlon-men-khaki-straight-cut-fitness-jacket/14180702/buy" TargetMode="External"/><Relationship Id="rId305" Type="http://schemas.openxmlformats.org/officeDocument/2006/relationships/hyperlink" Target="https://www.myntra.com/shrug/mayra/mayra-women-black-solid-button-shrug/11012510/buy" TargetMode="External"/><Relationship Id="rId512" Type="http://schemas.openxmlformats.org/officeDocument/2006/relationships/hyperlink" Target="https://www.myntra.com/jeans/roadster/roadster-men-blue-skinny-fit-mid-rise-clean-look-stretchable-jeans/11274708/buy" TargetMode="External"/><Relationship Id="rId957" Type="http://schemas.openxmlformats.org/officeDocument/2006/relationships/hyperlink" Target="https://www.myntra.com/tshirts/wrogn/wrogn-men-burgundy-solid-polo-collar-slim-fit-t-shirt/2339460/buy" TargetMode="External"/><Relationship Id="rId86" Type="http://schemas.openxmlformats.org/officeDocument/2006/relationships/hyperlink" Target="https://www.myntra.com/tshirts/mast--harbour/mast--harbour-women-pink-solid-round-neck-t-shirt/11711920/buy" TargetMode="External"/><Relationship Id="rId151" Type="http://schemas.openxmlformats.org/officeDocument/2006/relationships/hyperlink" Target="https://www.myntra.com/dresses/sangria/sangria-white--black-chevron-print-pure-cotton-a-line-dress/13249520/buy" TargetMode="External"/><Relationship Id="rId389" Type="http://schemas.openxmlformats.org/officeDocument/2006/relationships/hyperlink" Target="https://www.myntra.com/track-pants/hrx-by-hrithik-roshan/hrx-by-hrithik-roshan-teal-blue-active-joggers/1912701/buy" TargetMode="External"/><Relationship Id="rId596" Type="http://schemas.openxmlformats.org/officeDocument/2006/relationships/hyperlink" Target="https://www.myntra.com/trousers/invictus/invictus-black-slim-fit-formal-trousers/1199568/buy" TargetMode="External"/><Relationship Id="rId817" Type="http://schemas.openxmlformats.org/officeDocument/2006/relationships/hyperlink" Target="https://www.myntra.com/tshirts/hrx-by-hrithik-roshan/hrx-by-hrithik-roshan-men-grey-running-t-shirt/10106211/buy" TargetMode="External"/><Relationship Id="rId1002" Type="http://schemas.openxmlformats.org/officeDocument/2006/relationships/table" Target="../tables/table1.xml"/><Relationship Id="rId249" Type="http://schemas.openxmlformats.org/officeDocument/2006/relationships/hyperlink" Target="https://www.myntra.com/tshirts/roadster/the-roadster-lifestyle-co-men-black-printed-detail-round-neck-t-shirt/10939124/buy" TargetMode="External"/><Relationship Id="rId456" Type="http://schemas.openxmlformats.org/officeDocument/2006/relationships/hyperlink" Target="https://www.myntra.com/tshirts/roadster/roadster-men-blue-striped-round-neck-pure-cotton-t-shirt/2337949/buy" TargetMode="External"/><Relationship Id="rId663" Type="http://schemas.openxmlformats.org/officeDocument/2006/relationships/hyperlink" Target="https://www.myntra.com/tops/athena/athena-lavender-bell-sleeves-smocking-crop-georgette-top/13709580/buy" TargetMode="External"/><Relationship Id="rId870" Type="http://schemas.openxmlformats.org/officeDocument/2006/relationships/hyperlink" Target="https://www.myntra.com/dresses/athena/athena-black-embellished-sheath-dress/11312196/buy" TargetMode="External"/><Relationship Id="rId13" Type="http://schemas.openxmlformats.org/officeDocument/2006/relationships/hyperlink" Target="https://www.myntra.com/kurta-sets/anubhutee/anubhutee-women-pink--white-printed-kurta-with-trousers--dupatta/12873874/buy" TargetMode="External"/><Relationship Id="rId109" Type="http://schemas.openxmlformats.org/officeDocument/2006/relationships/hyperlink" Target="https://www.myntra.com/trunk/jockey/jockey-international-collection-men-blue-solid-trunks-ic28/11036420/buy" TargetMode="External"/><Relationship Id="rId316" Type="http://schemas.openxmlformats.org/officeDocument/2006/relationships/hyperlink" Target="https://www.myntra.com/jumpsuit/cottinfab/cottinfab-women-burgundy-solid-basic-jumpsuit/10961164/buy" TargetMode="External"/><Relationship Id="rId523" Type="http://schemas.openxmlformats.org/officeDocument/2006/relationships/hyperlink" Target="https://www.myntra.com/kurtas/see-designs/see-designs-men-blue--beige-printed-straight-kurta/11312646/buy" TargetMode="External"/><Relationship Id="rId968" Type="http://schemas.openxmlformats.org/officeDocument/2006/relationships/hyperlink" Target="https://www.myntra.com/kurtas/herenow/herenow-women-green--golden-ethnic-print-straight-kurta/12530340/buy" TargetMode="External"/><Relationship Id="rId97" Type="http://schemas.openxmlformats.org/officeDocument/2006/relationships/hyperlink" Target="https://www.myntra.com/tights/hrx-by-hrithik-roshan/hrx-by-hrithik-roshan-women-navy-solid-rapid-dry-training-tights/7695835/buy" TargetMode="External"/><Relationship Id="rId730" Type="http://schemas.openxmlformats.org/officeDocument/2006/relationships/hyperlink" Target="https://www.myntra.com/tshirts/wrogn/wrogn-men-brown-printed-round-neck-t-shirt/6833275/buy" TargetMode="External"/><Relationship Id="rId828" Type="http://schemas.openxmlformats.org/officeDocument/2006/relationships/hyperlink" Target="https://www.myntra.com/tshirts/herenow/herenow-men-teal-blue-solid-round-neck-t-shirt/12787018/buy" TargetMode="External"/><Relationship Id="rId162" Type="http://schemas.openxmlformats.org/officeDocument/2006/relationships/hyperlink" Target="https://www.myntra.com/jeans/roadster/roadster-men-blue-skinny-fit-mid-rise-mildly-distressed-stretchable-jeans/8788237/buy" TargetMode="External"/><Relationship Id="rId467" Type="http://schemas.openxmlformats.org/officeDocument/2006/relationships/hyperlink" Target="https://www.myntra.com/jackets/roadster/the-roadster-lifestyle-co-men-blue-solid-denim-jacket/10617850/buy" TargetMode="External"/><Relationship Id="rId674" Type="http://schemas.openxmlformats.org/officeDocument/2006/relationships/hyperlink" Target="https://www.myntra.com/kurta-sets/aasi/aasi-women-red--black-printed-kurta-with-skirt/8090747/buy" TargetMode="External"/><Relationship Id="rId881" Type="http://schemas.openxmlformats.org/officeDocument/2006/relationships/hyperlink" Target="https://www.myntra.com/tops/anouk/anouk-white-mandarin-collar-empire-top/13238794/buy" TargetMode="External"/><Relationship Id="rId979" Type="http://schemas.openxmlformats.org/officeDocument/2006/relationships/hyperlink" Target="https://www.myntra.com/kurtas/herenow/herenow-women-pink--white-checked-bell-sleeves-straight-kurta/12844212/buy" TargetMode="External"/><Relationship Id="rId24" Type="http://schemas.openxmlformats.org/officeDocument/2006/relationships/hyperlink" Target="https://www.myntra.com/shirts/all-about-you/all-about-you-women-mauve-stretchable-casual-shirt/13205276/buy" TargetMode="External"/><Relationship Id="rId327" Type="http://schemas.openxmlformats.org/officeDocument/2006/relationships/hyperlink" Target="https://www.myntra.com/kurta-sets/ishin/ishin-women-pink--white-bandhani-printed-kurta-with-trousers/12509638/buy" TargetMode="External"/><Relationship Id="rId534" Type="http://schemas.openxmlformats.org/officeDocument/2006/relationships/hyperlink" Target="https://www.myntra.com/tops/veni-vidi-vici/veni-vidi-vici-black-self-design-crop-top/1617114/buy" TargetMode="External"/><Relationship Id="rId741" Type="http://schemas.openxmlformats.org/officeDocument/2006/relationships/hyperlink" Target="https://www.myntra.com/trousers/tokyo-talkies/tokyo-talkies-women-navy-blue--white-straight-fit-striped-peg-trousers/12009590/buy" TargetMode="External"/><Relationship Id="rId839" Type="http://schemas.openxmlformats.org/officeDocument/2006/relationships/hyperlink" Target="https://www.myntra.com/jeans/roadster/roadster-women-blue-flared-mid-rise-clean-look-stretchable-jeans/11045890/buy" TargetMode="External"/><Relationship Id="rId173" Type="http://schemas.openxmlformats.org/officeDocument/2006/relationships/hyperlink" Target="https://www.myntra.com/tshirts/wrogn/wrogn-men-teal-blue-slim-fit-cotton-pure-cotton-t-shirt/9768169/buy" TargetMode="External"/><Relationship Id="rId380" Type="http://schemas.openxmlformats.org/officeDocument/2006/relationships/hyperlink" Target="https://www.myntra.com/briefs/dollar-missy/dollar-missy-women-pack-of-6-bikini-briefs-201p-hrt-cam-pur-po6/2190882/buy" TargetMode="External"/><Relationship Id="rId601" Type="http://schemas.openxmlformats.org/officeDocument/2006/relationships/hyperlink" Target="https://www.myntra.com/kurtas/varanga/varanga-women-pink--white-leheriya-printed-angrakha-kurta-with-embroidery/13647622/buy" TargetMode="External"/><Relationship Id="rId240" Type="http://schemas.openxmlformats.org/officeDocument/2006/relationships/hyperlink" Target="https://www.myntra.com/kurta-sets/varanga/varanga-calm-blue-and-grey-yoke-design-kurta-set/13769676/buy" TargetMode="External"/><Relationship Id="rId478" Type="http://schemas.openxmlformats.org/officeDocument/2006/relationships/hyperlink" Target="https://www.myntra.com/tshirts/hrx-by-hrithik-roshan/hrx-by-hrithik-roshan-men-pack-of-2-grey--white-t-shirt/16323384/buy" TargetMode="External"/><Relationship Id="rId685" Type="http://schemas.openxmlformats.org/officeDocument/2006/relationships/hyperlink" Target="https://www.myntra.com/trousers/libas/libas-women-white-cigarette-trousers/13234824/buy" TargetMode="External"/><Relationship Id="rId892" Type="http://schemas.openxmlformats.org/officeDocument/2006/relationships/hyperlink" Target="https://www.myntra.com/dresses/ahalyaa/ahalyaa-black--green-floral-printed-maxi-dress/9689953/buy" TargetMode="External"/><Relationship Id="rId906" Type="http://schemas.openxmlformats.org/officeDocument/2006/relationships/hyperlink" Target="https://www.myntra.com/briefs/jockey/jockey-international-collection-men-turquoise-blue-solid-briefs-ic27/11036298/buy" TargetMode="External"/><Relationship Id="rId35" Type="http://schemas.openxmlformats.org/officeDocument/2006/relationships/hyperlink" Target="https://www.myntra.com/tshirts/roadster/roadster-women-rust-pink--white-colourblocked-round-neck-pure-cotton-t-shirt-with-twisted-detail/10969948/buy" TargetMode="External"/><Relationship Id="rId100" Type="http://schemas.openxmlformats.org/officeDocument/2006/relationships/hyperlink" Target="https://www.myntra.com/tshirts/roadster/roadster-women-mustard-yellow--black-printed-round-neck-t-shirt/12193806/buy" TargetMode="External"/><Relationship Id="rId338" Type="http://schemas.openxmlformats.org/officeDocument/2006/relationships/hyperlink" Target="https://www.myntra.com/shirts/roadster/roadster-men-charcoal-grey-regular-fit-printed-sustainable-casual-shirt/2248879/buy" TargetMode="External"/><Relationship Id="rId545" Type="http://schemas.openxmlformats.org/officeDocument/2006/relationships/hyperlink" Target="https://www.myntra.com/track-pants/tokyo-talkies/tokyo-talkies-women-lavender-solid-regular-fit-track-pants/14062984/buy" TargetMode="External"/><Relationship Id="rId752" Type="http://schemas.openxmlformats.org/officeDocument/2006/relationships/hyperlink" Target="https://www.myntra.com/tops/herenow/herenow-black-geometric-sleeveless-top/1973400/buy" TargetMode="External"/><Relationship Id="rId184" Type="http://schemas.openxmlformats.org/officeDocument/2006/relationships/hyperlink" Target="https://www.myntra.com/trousers/highlander/highlander-men-olive-green-slim-fit-solid-joggers/5125964/buy" TargetMode="External"/><Relationship Id="rId391" Type="http://schemas.openxmlformats.org/officeDocument/2006/relationships/hyperlink" Target="https://www.myntra.com/tshirts/roadster/roadster-women-white-solid-round-neck-t-shirt/11398830/buy" TargetMode="External"/><Relationship Id="rId405" Type="http://schemas.openxmlformats.org/officeDocument/2006/relationships/hyperlink" Target="https://www.myntra.com/track-pants/tokyo-talkies/tokyo-talkies-women-green-solid-slim-fit-track-pants/14154082/buy" TargetMode="External"/><Relationship Id="rId612" Type="http://schemas.openxmlformats.org/officeDocument/2006/relationships/hyperlink" Target="https://www.myntra.com/tshirts/roadster/roadster-men-grey-all-over-printed-round-neck-t-shirt/2475652/buy" TargetMode="External"/><Relationship Id="rId251" Type="http://schemas.openxmlformats.org/officeDocument/2006/relationships/hyperlink" Target="https://www.myntra.com/kurtas/herenow/herenow-women-green-solid-straight-kurta/12050580/buy" TargetMode="External"/><Relationship Id="rId489" Type="http://schemas.openxmlformats.org/officeDocument/2006/relationships/hyperlink" Target="https://www.myntra.com/shirts/roadster/roadster-men-black--grey-slim-fit-checked-sustainable-casual-shirt/2116963/buy" TargetMode="External"/><Relationship Id="rId696" Type="http://schemas.openxmlformats.org/officeDocument/2006/relationships/hyperlink" Target="https://www.myntra.com/sarees/mitera/mitera-navy-blue--gold-coloured-silk-blend-woven-design-banarasi-saree/11749988/buy" TargetMode="External"/><Relationship Id="rId917" Type="http://schemas.openxmlformats.org/officeDocument/2006/relationships/hyperlink" Target="https://www.myntra.com/shirts/roadster/roadster-men-black--red-printed-pure-cotton-sustainable-casual-shirt/11895978/buy" TargetMode="External"/><Relationship Id="rId46" Type="http://schemas.openxmlformats.org/officeDocument/2006/relationships/hyperlink" Target="https://www.myntra.com/tops/mayra/mayra-women-mustard-yellow--green-ditsy-floral-printed-cinched-waist-top/11235516/buy" TargetMode="External"/><Relationship Id="rId349" Type="http://schemas.openxmlformats.org/officeDocument/2006/relationships/hyperlink" Target="https://www.myntra.com/shirts/roadster/roadster-men-olive-pure-cotton-casual-shirt/10275261/buy" TargetMode="External"/><Relationship Id="rId556" Type="http://schemas.openxmlformats.org/officeDocument/2006/relationships/hyperlink" Target="https://www.myntra.com/briefs/us-polo-assn/us-polo-assn-men-assorted-solid-briefs-i666-615-p1/10248005/buy" TargetMode="External"/><Relationship Id="rId763" Type="http://schemas.openxmlformats.org/officeDocument/2006/relationships/hyperlink" Target="https://www.myntra.com/briefs/us-polo-assn/us-polo-assn-men-pack-of-2-assorted-briefs-10248015/10248015/buy" TargetMode="External"/><Relationship Id="rId111" Type="http://schemas.openxmlformats.org/officeDocument/2006/relationships/hyperlink" Target="https://www.myntra.com/tshirts/hrx-by-hrithik-roshan/hrx-by-hrithik-roshan-men-black-printed-rapid-dry-basketball-tank-tshirt/11640010/buy" TargetMode="External"/><Relationship Id="rId195" Type="http://schemas.openxmlformats.org/officeDocument/2006/relationships/hyperlink" Target="https://www.myntra.com/lounge-pants/vimal/vimal-men-pack-of-2-solid-cotton-lounge-pants/13676446/buy" TargetMode="External"/><Relationship Id="rId209" Type="http://schemas.openxmlformats.org/officeDocument/2006/relationships/hyperlink" Target="https://www.myntra.com/tshirts/kook-n-keech/kook-n-keech-men-white--black-striped-oversized-longline-pure-cotton-t-shirt/2095982/buy" TargetMode="External"/><Relationship Id="rId416" Type="http://schemas.openxmlformats.org/officeDocument/2006/relationships/hyperlink" Target="https://www.myntra.com/jeans/roadster/roadster-women-blue-skinny-fit-mid-rise-clean-look-stretchable-jeans/8091637/buy" TargetMode="External"/><Relationship Id="rId970" Type="http://schemas.openxmlformats.org/officeDocument/2006/relationships/hyperlink" Target="https://www.myntra.com/tshirts/roadster/roadster-women-pack-of-2-pure-cotton-typography-print-t-shirts/17384818/buy" TargetMode="External"/><Relationship Id="rId623" Type="http://schemas.openxmlformats.org/officeDocument/2006/relationships/hyperlink" Target="https://www.myntra.com/tshirts/ether/ether-men-navy-blue-melange-solid-round-neck-pure-cotton-t-shirt-with-chest-pocket/11752134/buy" TargetMode="External"/><Relationship Id="rId830" Type="http://schemas.openxmlformats.org/officeDocument/2006/relationships/hyperlink" Target="https://www.myntra.com/kurtas/vishudh/vishudh-women-green-printed-anarkali-kurta/6942355/buy" TargetMode="External"/><Relationship Id="rId928" Type="http://schemas.openxmlformats.org/officeDocument/2006/relationships/hyperlink" Target="https://www.myntra.com/jeggings/roadster/roadster-women-charcoal-grey-super-skinny-fit-solid-denim-treggings/11489514/buy" TargetMode="External"/><Relationship Id="rId57" Type="http://schemas.openxmlformats.org/officeDocument/2006/relationships/hyperlink" Target="https://www.myntra.com/tops/pluss/pluss-black-a-line-crop-pure-cotton-top/12150560/buy" TargetMode="External"/><Relationship Id="rId262" Type="http://schemas.openxmlformats.org/officeDocument/2006/relationships/hyperlink" Target="https://www.myntra.com/tshirts/roadster/the-roadster-lifestyle-co-men-mustard-yellow-printed-round-neck-pure-cotton-t-shirt/10940564/buy" TargetMode="External"/><Relationship Id="rId567" Type="http://schemas.openxmlformats.org/officeDocument/2006/relationships/hyperlink" Target="https://www.myntra.com/tshirts/roadster/roadster-women-black--blue-pack-of-2-typography-print-round-neck-knitted-t-shirts/17383532/buy" TargetMode="External"/><Relationship Id="rId122" Type="http://schemas.openxmlformats.org/officeDocument/2006/relationships/hyperlink" Target="https://www.myntra.com/dresses/tokyo-talkies/tokyo-talkies-women-yellow-printed-maxi-dress/6625378/buy" TargetMode="External"/><Relationship Id="rId774" Type="http://schemas.openxmlformats.org/officeDocument/2006/relationships/hyperlink" Target="https://www.myntra.com/trousers/roadster/roadster-men-navy-slim-fit-pure-cotton-joggers/2291335/buy" TargetMode="External"/><Relationship Id="rId981" Type="http://schemas.openxmlformats.org/officeDocument/2006/relationships/hyperlink" Target="https://www.myntra.com/dresses/mast--harbour/mast--harbour-navy-embroidered-a-line-dress/11144172/buy" TargetMode="External"/><Relationship Id="rId427" Type="http://schemas.openxmlformats.org/officeDocument/2006/relationships/hyperlink" Target="https://www.myntra.com/tshirts/roadster/roadster-women-pack-of-2-pure-cotton-t-shirts/17381478/buy" TargetMode="External"/><Relationship Id="rId634" Type="http://schemas.openxmlformats.org/officeDocument/2006/relationships/hyperlink" Target="https://www.myntra.com/sweatshirts/roadster/roadster-women-olive-green-solid-hooded-sweatshirt/11991112/buy" TargetMode="External"/><Relationship Id="rId841" Type="http://schemas.openxmlformats.org/officeDocument/2006/relationships/hyperlink" Target="https://www.myntra.com/sweatshirts/kook-n-keech/kook-n-keech-red-printed-hooded-sweatshirt/1395990/buy" TargetMode="External"/><Relationship Id="rId273" Type="http://schemas.openxmlformats.org/officeDocument/2006/relationships/hyperlink" Target="https://www.myntra.com/jumpsuit/tokyo-talkies/tokyo-talkies-women-black--white-checked-basic-jumpsuit-with-belt/10051297/buy" TargetMode="External"/><Relationship Id="rId480" Type="http://schemas.openxmlformats.org/officeDocument/2006/relationships/hyperlink" Target="https://www.myntra.com/tshirts/roadster/roadster-men-white--navy-striped-round-neck-pure-cotton-t-shirt/2297744/buy" TargetMode="External"/><Relationship Id="rId701" Type="http://schemas.openxmlformats.org/officeDocument/2006/relationships/hyperlink" Target="https://www.myntra.com/jeans/tokyo-talkies/tokyo-talkies-women-white-bootcut-mid-rise-clean-look-stretchable-jeans/11538394/buy" TargetMode="External"/><Relationship Id="rId939" Type="http://schemas.openxmlformats.org/officeDocument/2006/relationships/hyperlink" Target="https://www.myntra.com/shirts/harvard/harvard-men-navy-blue--red-slim-fit-checked-sustainable-casual-shirt/2358001/buy" TargetMode="External"/><Relationship Id="rId68" Type="http://schemas.openxmlformats.org/officeDocument/2006/relationships/hyperlink" Target="https://www.myntra.com/tshirts/roadster/roadster-women-mustard-yellow-solid-round-neck-t-shirt/2439141/buy" TargetMode="External"/><Relationship Id="rId133" Type="http://schemas.openxmlformats.org/officeDocument/2006/relationships/hyperlink" Target="https://www.myntra.com/briefs/softrose/softrose-women-pack-of-3-boyshorts-sh7004bws/782799/buy" TargetMode="External"/><Relationship Id="rId340" Type="http://schemas.openxmlformats.org/officeDocument/2006/relationships/hyperlink" Target="https://www.myntra.com/briefs/jockey/jockey-simple-comfort-women-pack-of-3-bikini-briefs-1410/15034244/buy" TargetMode="External"/><Relationship Id="rId578" Type="http://schemas.openxmlformats.org/officeDocument/2006/relationships/hyperlink" Target="https://www.myntra.com/tshirts/roadster/roadster-women-pack-of-2-pure-cotton-typography-print-t-shirts/17384820/buy" TargetMode="External"/><Relationship Id="rId785" Type="http://schemas.openxmlformats.org/officeDocument/2006/relationships/hyperlink" Target="https://www.myntra.com/briefs/c9-airwear/c9-airwear-women-pack-of-3-solid-hipster-briefs-p1119/8735259/buy" TargetMode="External"/><Relationship Id="rId992" Type="http://schemas.openxmlformats.org/officeDocument/2006/relationships/hyperlink" Target="https://www.myntra.com/kurtas/sangria/sangria-women-off-white--red-floral-print-front-slit-a-line-kurta/13437258/buy" TargetMode="External"/><Relationship Id="rId200" Type="http://schemas.openxmlformats.org/officeDocument/2006/relationships/hyperlink" Target="https://www.myntra.com/tshirts/mast--harbour/mast--harbour-women-off-white-striped-round-neck-t-shirt/8325391/buy" TargetMode="External"/><Relationship Id="rId438" Type="http://schemas.openxmlformats.org/officeDocument/2006/relationships/hyperlink" Target="https://www.myntra.com/trousers/highlander/highlander-men-navy-blue--grey-slim-fit-checked-regular-trousers/10144527/buy" TargetMode="External"/><Relationship Id="rId645" Type="http://schemas.openxmlformats.org/officeDocument/2006/relationships/hyperlink" Target="https://www.myntra.com/dresses/indian-virasat/indian-virasat-maroon--beige-ethnic-motifs-printed-maxi-ethnic-dress/10679270/buy" TargetMode="External"/><Relationship Id="rId852" Type="http://schemas.openxmlformats.org/officeDocument/2006/relationships/hyperlink" Target="https://www.myntra.com/tshirts/roadster/roadster-women-pack-of-2-cotton-t-shirt/17382032/buy" TargetMode="External"/><Relationship Id="rId284" Type="http://schemas.openxmlformats.org/officeDocument/2006/relationships/hyperlink" Target="https://www.myntra.com/jackets/roadster/roadster-men-navy-blue--black-solid-reversible-bomber-jacket/10679170/buy" TargetMode="External"/><Relationship Id="rId491" Type="http://schemas.openxmlformats.org/officeDocument/2006/relationships/hyperlink" Target="https://www.myntra.com/jeans/herenow/herenow-women-blue-bootcut-high-rise-clean-look-stretchable-cropped-jeans/9072729/buy" TargetMode="External"/><Relationship Id="rId505" Type="http://schemas.openxmlformats.org/officeDocument/2006/relationships/hyperlink" Target="https://www.myntra.com/dresses/street-9/street-9-navy-blue-one-shoulder-fit--flare-dress/7287282/buy" TargetMode="External"/><Relationship Id="rId712" Type="http://schemas.openxmlformats.org/officeDocument/2006/relationships/hyperlink" Target="https://www.myntra.com/kurtas/house-of-pataudi/house-of-pataudi-men-green-woven-design-straight-kurta/7441137/buy" TargetMode="External"/><Relationship Id="rId79" Type="http://schemas.openxmlformats.org/officeDocument/2006/relationships/hyperlink" Target="https://www.myntra.com/tshirts/wrogn/wrogn-men-navy-blue-striped-slim-fit-cotton-pure-cotton-t-shirt/11363302/buy" TargetMode="External"/><Relationship Id="rId144" Type="http://schemas.openxmlformats.org/officeDocument/2006/relationships/hyperlink" Target="https://www.myntra.com/tshirts/herenow/herenow-men-white-solid-round-neck-t-shirt/12816474/buy" TargetMode="External"/><Relationship Id="rId589" Type="http://schemas.openxmlformats.org/officeDocument/2006/relationships/hyperlink" Target="https://www.myntra.com/lounge-pants/claura/claura-women-pink--black-checked-lounge-pants/12096672/buy" TargetMode="External"/><Relationship Id="rId796" Type="http://schemas.openxmlformats.org/officeDocument/2006/relationships/hyperlink" Target="https://www.myntra.com/tshirts/roadster/the-roadster-lifestyle-co-women-olive-green--white-colourblocked-round-neck-pure-cotton-t-shirt/10970304/buy" TargetMode="External"/><Relationship Id="rId351" Type="http://schemas.openxmlformats.org/officeDocument/2006/relationships/hyperlink" Target="https://www.myntra.com/jeans/roadster/roadster-men-blue-skinny-fit-mid-rise-clean-look-stretchable-jeans/10064543/buy" TargetMode="External"/><Relationship Id="rId449" Type="http://schemas.openxmlformats.org/officeDocument/2006/relationships/hyperlink" Target="https://www.myntra.com/shirts/highlander/highlander-men-mustard-yellow-slim-fit-solid-cotton-casual-shirt/13957442/buy" TargetMode="External"/><Relationship Id="rId656" Type="http://schemas.openxmlformats.org/officeDocument/2006/relationships/hyperlink" Target="https://www.myntra.com/jeans/tokyo-talkies/tokyo-talkies-women-black-relaxed-fit-mid-rise-clean-look-jeans/10710942/buy" TargetMode="External"/><Relationship Id="rId863" Type="http://schemas.openxmlformats.org/officeDocument/2006/relationships/hyperlink" Target="https://www.myntra.com/tshirts/wrogn/wrogn-men-black-slim-fit-cotton-t-shirt/2339490/buy" TargetMode="External"/><Relationship Id="rId211" Type="http://schemas.openxmlformats.org/officeDocument/2006/relationships/hyperlink" Target="https://www.myntra.com/shirts/jainish/jainish-men-grey-classic-slim-fit-solid-formal-shirt/5126313/buy" TargetMode="External"/><Relationship Id="rId295" Type="http://schemas.openxmlformats.org/officeDocument/2006/relationships/hyperlink" Target="https://www.myntra.com/briefs/us-polo-assn/us-polo-assn-men-pack-of-2-black-solid-briefs-y9i006-002-p2/11354536/buy" TargetMode="External"/><Relationship Id="rId309" Type="http://schemas.openxmlformats.org/officeDocument/2006/relationships/hyperlink" Target="https://www.myntra.com/jeans/roadster/roadster-men-black-regular-fit-low-rise-mildly-distressed-stretchable-jeans/8903777/buy" TargetMode="External"/><Relationship Id="rId516" Type="http://schemas.openxmlformats.org/officeDocument/2006/relationships/hyperlink" Target="https://www.myntra.com/tops/tokyo-talkies/tokyo-talkies-women-black--white-striped-top/12009576/buy" TargetMode="External"/><Relationship Id="rId723" Type="http://schemas.openxmlformats.org/officeDocument/2006/relationships/hyperlink" Target="https://www.myntra.com/kurtas/anouk/anouk-women-black--white-printed-straight-kurta/10960718/buy" TargetMode="External"/><Relationship Id="rId930" Type="http://schemas.openxmlformats.org/officeDocument/2006/relationships/hyperlink" Target="https://www.myntra.com/kurta-sets/inddus/inddus-women-marron-net-sheer-sequinned-kurta-with-sharara--dupatta/13895560/buy" TargetMode="External"/><Relationship Id="rId155" Type="http://schemas.openxmlformats.org/officeDocument/2006/relationships/hyperlink" Target="https://www.myntra.com/dresses/sera/sera-women-burgundy--pink-printed-tailored-dress/1829161/buy" TargetMode="External"/><Relationship Id="rId362" Type="http://schemas.openxmlformats.org/officeDocument/2006/relationships/hyperlink" Target="https://www.myntra.com/tshirts/roadster/roadster-men-blue-solid-henley-neck-t-shirt/10424670/buy" TargetMode="External"/><Relationship Id="rId222" Type="http://schemas.openxmlformats.org/officeDocument/2006/relationships/hyperlink" Target="https://www.myntra.com/tshirts/roadster/roadster-women-mustard-yellow-solid-round-neck-pure-cotton-t-shirt-with-sleeve-stripes/11976820/buy" TargetMode="External"/><Relationship Id="rId667" Type="http://schemas.openxmlformats.org/officeDocument/2006/relationships/hyperlink" Target="https://www.myntra.com/dresses/miss-chase/miss-chase-maroon-shirt-dress/10166985/buy" TargetMode="External"/><Relationship Id="rId874" Type="http://schemas.openxmlformats.org/officeDocument/2006/relationships/hyperlink" Target="https://www.myntra.com/dresses/sangria/sangria-yellow-floral-printed-cotton-a-line-dress/8349249/buy" TargetMode="External"/><Relationship Id="rId17" Type="http://schemas.openxmlformats.org/officeDocument/2006/relationships/hyperlink" Target="https://www.myntra.com/kurtas/vishudh/vishudh-women-blue--pink-floral-print-a-line-kurta/10473520/buy" TargetMode="External"/><Relationship Id="rId527" Type="http://schemas.openxmlformats.org/officeDocument/2006/relationships/hyperlink" Target="https://www.myntra.com/tops/roadster/roadster-black-self-design-sustainable-top/11021016/buy" TargetMode="External"/><Relationship Id="rId734" Type="http://schemas.openxmlformats.org/officeDocument/2006/relationships/hyperlink" Target="https://www.myntra.com/jackets/roadster/roadster-women-lavender-solid-padded-jacket/12698610/buy" TargetMode="External"/><Relationship Id="rId941" Type="http://schemas.openxmlformats.org/officeDocument/2006/relationships/hyperlink" Target="https://www.myntra.com/bra/zivame/zivame-blue--yellow-solid-underwired-lightly-padded-t-shirt-bra-zi1132corezblue/6608551/buy" TargetMode="External"/><Relationship Id="rId70" Type="http://schemas.openxmlformats.org/officeDocument/2006/relationships/hyperlink" Target="https://www.myntra.com/kurta-sets/anouk/anouk-women-green-printed-kurti-with-dhoti-pants/12337118/buy" TargetMode="External"/><Relationship Id="rId166" Type="http://schemas.openxmlformats.org/officeDocument/2006/relationships/hyperlink" Target="https://www.myntra.com/jeans/dressberry/dressberry-women-blue-skinny-fit-mid-rise-clean-look-stretchable-cropped-jeans/11293698/buy" TargetMode="External"/><Relationship Id="rId373" Type="http://schemas.openxmlformats.org/officeDocument/2006/relationships/hyperlink" Target="https://www.myntra.com/dresses/dressberry/dressberry-women-burgundy-embroidered-a-line-dress/10463770/buy" TargetMode="External"/><Relationship Id="rId580" Type="http://schemas.openxmlformats.org/officeDocument/2006/relationships/hyperlink" Target="https://www.myntra.com/tops/dressberry/dressberry-coral-pink-floral-high-low-top/8282019/buy" TargetMode="External"/><Relationship Id="rId801" Type="http://schemas.openxmlformats.org/officeDocument/2006/relationships/hyperlink" Target="https://www.myntra.com/tshirts/ether/ether-men-blue-solid-pique-polo-t-shirt-with-contrast-rib--collar/1462052/buy" TargetMode="External"/><Relationship Id="rId1" Type="http://schemas.openxmlformats.org/officeDocument/2006/relationships/hyperlink" Target="https://www.myntra.com/jeans/roadster/roadster-men-navy-blue-slim-fit-mid-rise-clean-look-jeans/2296012/buy" TargetMode="External"/><Relationship Id="rId233" Type="http://schemas.openxmlformats.org/officeDocument/2006/relationships/hyperlink" Target="https://www.myntra.com/tshirts/mast--harbour/mast--harbour-men-peach-coloured-solid-round-neck-t-shirt/3082389/buy" TargetMode="External"/><Relationship Id="rId440" Type="http://schemas.openxmlformats.org/officeDocument/2006/relationships/hyperlink" Target="https://www.myntra.com/tshirts/mast--harbour/mast--harbour-men-navy-solid-round-neck-pure-cotton-t-shirt/2232130/buy" TargetMode="External"/><Relationship Id="rId678" Type="http://schemas.openxmlformats.org/officeDocument/2006/relationships/hyperlink" Target="https://www.myntra.com/trunk/jockey/jockey-international-collection-men-black-solid-trunks-ic28/11036254/buy" TargetMode="External"/><Relationship Id="rId885" Type="http://schemas.openxmlformats.org/officeDocument/2006/relationships/hyperlink" Target="https://www.myntra.com/tshirts/campus-sutra/campus-sutra-men-grey-solid-mandarin-collar-t-shirt/10890962/buy" TargetMode="External"/><Relationship Id="rId28" Type="http://schemas.openxmlformats.org/officeDocument/2006/relationships/hyperlink" Target="https://www.myntra.com/shorts/wisstler/wisstler-women-navy--pink-chevron-print-regular-fit-shorts/2017530/buy" TargetMode="External"/><Relationship Id="rId300" Type="http://schemas.openxmlformats.org/officeDocument/2006/relationships/hyperlink" Target="https://www.myntra.com/dresses/dressberry/dressberry-women-pretty-pink-floral-bell-sleeves-dress/2521064/buy" TargetMode="External"/><Relationship Id="rId538" Type="http://schemas.openxmlformats.org/officeDocument/2006/relationships/hyperlink" Target="https://www.myntra.com/tshirts/mast--harbour/mast--harbour-women-pack-of-2-cotton-t-shirts/17524634/buy" TargetMode="External"/><Relationship Id="rId745" Type="http://schemas.openxmlformats.org/officeDocument/2006/relationships/hyperlink" Target="https://www.myntra.com/jeans/harvard/harvard-men-navy-blue-slim-fit-mid-rise-clean-look-stretchable-jeans/10415106/buy" TargetMode="External"/><Relationship Id="rId952" Type="http://schemas.openxmlformats.org/officeDocument/2006/relationships/hyperlink" Target="https://www.myntra.com/socks/mast--harbour/mast--harbour-men-pack-of-3-calf-length-socks/10986386/buy" TargetMode="External"/><Relationship Id="rId81" Type="http://schemas.openxmlformats.org/officeDocument/2006/relationships/hyperlink" Target="https://www.myntra.com/shapewear/zivame/zivame-women-grey-tummy--thigh-shaper-zi0pssan03agrey/7569310/buy" TargetMode="External"/><Relationship Id="rId177" Type="http://schemas.openxmlformats.org/officeDocument/2006/relationships/hyperlink" Target="https://www.myntra.com/tshirts/roadster/-roadster-women-pack-of-2-cotton-t-shirts/17382832/buy" TargetMode="External"/><Relationship Id="rId384" Type="http://schemas.openxmlformats.org/officeDocument/2006/relationships/hyperlink" Target="https://www.myntra.com/boxers/us-polo-assn/us-polo-assn-men-assorted-printed-pure-cotton-boxers-i657-615-cr-l/9168503/buy" TargetMode="External"/><Relationship Id="rId591" Type="http://schemas.openxmlformats.org/officeDocument/2006/relationships/hyperlink" Target="https://www.myntra.com/sweatshirts/sassafras/sassafras-women-sea-green-solid-boxy-cropped-sweatshirt/12222024/buy" TargetMode="External"/><Relationship Id="rId605" Type="http://schemas.openxmlformats.org/officeDocument/2006/relationships/hyperlink" Target="https://www.myntra.com/shirts/roadster/roadster-men-black--beige-conversational-printed-pure-cotton-sustainable-casual-shirt/11895970/buy" TargetMode="External"/><Relationship Id="rId812" Type="http://schemas.openxmlformats.org/officeDocument/2006/relationships/hyperlink" Target="https://www.myntra.com/kurtas/jaipur-kurti/jaipur-kurti-women-navy-blue--pink-quirky-print-straight-kurta/11053868/buy" TargetMode="External"/><Relationship Id="rId244" Type="http://schemas.openxmlformats.org/officeDocument/2006/relationships/hyperlink" Target="https://www.myntra.com/tshirts/ether/ether-women-white-solid-high-neck-pure-cotton-t-shirt/8610407/buy" TargetMode="External"/><Relationship Id="rId689" Type="http://schemas.openxmlformats.org/officeDocument/2006/relationships/hyperlink" Target="https://www.myntra.com/shirts/roadster/roadster-men-burgundy-regular-fit-solid-casual-sustainable-shirt/6791220/buy" TargetMode="External"/><Relationship Id="rId896" Type="http://schemas.openxmlformats.org/officeDocument/2006/relationships/hyperlink" Target="https://www.myntra.com/shirts/roadster/roadster-men-navy-blue--brown-checked-sustainable-casual-shirt/1376232/buy" TargetMode="External"/><Relationship Id="rId39" Type="http://schemas.openxmlformats.org/officeDocument/2006/relationships/hyperlink" Target="https://www.myntra.com/jeans/wrogn/wrogn-men-black-slim-fit-mid-rise-clean-look-stretchable-jeans/10187401/buy" TargetMode="External"/><Relationship Id="rId451" Type="http://schemas.openxmlformats.org/officeDocument/2006/relationships/hyperlink" Target="https://www.myntra.com/bra/jockey/jockey-burgundy-solid-non-wired-lightly-padded-everyday-bra-1723-0105-btred/9314595/buy" TargetMode="External"/><Relationship Id="rId549" Type="http://schemas.openxmlformats.org/officeDocument/2006/relationships/hyperlink" Target="https://www.myntra.com/track-pants/maniac/maniac-men-black-solid-slim-fit-joggers/9436563/buy" TargetMode="External"/><Relationship Id="rId756" Type="http://schemas.openxmlformats.org/officeDocument/2006/relationships/hyperlink" Target="https://www.myntra.com/dresses/uf/uf-women-pink--blue-printed-maxi-dress/11538028/buy" TargetMode="External"/><Relationship Id="rId104" Type="http://schemas.openxmlformats.org/officeDocument/2006/relationships/hyperlink" Target="https://www.myntra.com/shirts/roadster/roadster-men-blue-pure-cotton-sustainable-casual-shirt/11326046/buy" TargetMode="External"/><Relationship Id="rId188" Type="http://schemas.openxmlformats.org/officeDocument/2006/relationships/hyperlink" Target="https://www.myntra.com/kurtas/mokshi/mokshi-women-pink--blue-printed-cotton-anarkali-kurta/13452040/buy" TargetMode="External"/><Relationship Id="rId311" Type="http://schemas.openxmlformats.org/officeDocument/2006/relationships/hyperlink" Target="https://www.myntra.com/sweatshirts/hm/hm-men-white-relaxed-fit-hoodie/15193768/buy" TargetMode="External"/><Relationship Id="rId395" Type="http://schemas.openxmlformats.org/officeDocument/2006/relationships/hyperlink" Target="https://www.myntra.com/tshirts/hrx-by-hrithik-roshan/hrx-by-hrithik-roshan-women-red-solid-round-neck-t-shirt/7688063/buy" TargetMode="External"/><Relationship Id="rId409" Type="http://schemas.openxmlformats.org/officeDocument/2006/relationships/hyperlink" Target="https://www.myntra.com/tshirts/kook-n-keech/kook-n-keech-women-black-printed-round-neck-boxy-pure-cotton-t-shirt/10926786/buy" TargetMode="External"/><Relationship Id="rId963" Type="http://schemas.openxmlformats.org/officeDocument/2006/relationships/hyperlink" Target="https://www.myntra.com/shirts/dressberry/dressberry-women-lovely-olive-solid-cut-out-shirt/2521376/buy" TargetMode="External"/><Relationship Id="rId92" Type="http://schemas.openxmlformats.org/officeDocument/2006/relationships/hyperlink" Target="https://www.myntra.com/tops/trend-arrest/trend-arrest-women-red--white-floral-printed-smocked-crop-peplum-top/11709228/buy" TargetMode="External"/><Relationship Id="rId616" Type="http://schemas.openxmlformats.org/officeDocument/2006/relationships/hyperlink" Target="https://www.myntra.com/bra/zivame/zivame-maroon-solid-underwired-lightly-padded-t-shirt-bra/7432898/buy" TargetMode="External"/><Relationship Id="rId823" Type="http://schemas.openxmlformats.org/officeDocument/2006/relationships/hyperlink" Target="https://www.myntra.com/shirts/roadster/roadster-men-black--white-regular-fit-printed-casual-sustainable-shirt/10944438/buy" TargetMode="External"/><Relationship Id="rId255" Type="http://schemas.openxmlformats.org/officeDocument/2006/relationships/hyperlink" Target="https://www.myntra.com/tshirts/roadster/-roadster-women-pack-of-2-cotton-t-shirts/17381612/buy" TargetMode="External"/><Relationship Id="rId462" Type="http://schemas.openxmlformats.org/officeDocument/2006/relationships/hyperlink" Target="https://www.myntra.com/lounge-pants/etc/etc-women-black-pure-cotton-solid-lounge-joggers/12820436/buy" TargetMode="External"/><Relationship Id="rId115" Type="http://schemas.openxmlformats.org/officeDocument/2006/relationships/hyperlink" Target="https://www.myntra.com/kurtis/anouk/anouk-women-navy-blue--maroon-printed-kurti/6613296/buy" TargetMode="External"/><Relationship Id="rId322" Type="http://schemas.openxmlformats.org/officeDocument/2006/relationships/hyperlink" Target="https://www.myntra.com/shirts/roadster/roadster-men-black--grey-regular-fit-checked-sustainable-casual-shirt/10397849/buy" TargetMode="External"/><Relationship Id="rId767" Type="http://schemas.openxmlformats.org/officeDocument/2006/relationships/hyperlink" Target="https://www.myntra.com/innerwear-vests/us-polo-assn/us-polo-assn-men-pack-of-2-white-solid-innerwear-vests-i642-001-p2/9168683/buy" TargetMode="External"/><Relationship Id="rId974" Type="http://schemas.openxmlformats.org/officeDocument/2006/relationships/hyperlink" Target="https://www.myntra.com/sweatshirts/hrx-by-hrithik-roshan/hrx-by-hrithik-roshan-women-orange-hooded-active-sweatshirt/4653850/buy" TargetMode="External"/><Relationship Id="rId199" Type="http://schemas.openxmlformats.org/officeDocument/2006/relationships/hyperlink" Target="https://www.myntra.com/shirts/marie-claire/marie-claire-navy-crepe-sheer-comfort-shirt/1382567/buy" TargetMode="External"/><Relationship Id="rId627" Type="http://schemas.openxmlformats.org/officeDocument/2006/relationships/hyperlink" Target="https://www.myntra.com/dresses/sassafras/sassafras-women-black-solid-blazer-dress/13873912/buy" TargetMode="External"/><Relationship Id="rId834" Type="http://schemas.openxmlformats.org/officeDocument/2006/relationships/hyperlink" Target="https://www.myntra.com/tshirts/roadster/roadster-women-pack-of-2-solid-pure-cotton-t-shirts/17381370/buy" TargetMode="External"/><Relationship Id="rId266" Type="http://schemas.openxmlformats.org/officeDocument/2006/relationships/hyperlink" Target="https://www.myntra.com/jeans/roadster/roadster-women-blue-skinny-fit-mid-rise-clean-look-stretchable-jeans/11541582/buy" TargetMode="External"/><Relationship Id="rId473" Type="http://schemas.openxmlformats.org/officeDocument/2006/relationships/hyperlink" Target="https://www.myntra.com/tshirts/maniac/maniac-men-white-striped-scoop-neck-pure-cotton-t-shirt/9200817/buy" TargetMode="External"/><Relationship Id="rId680" Type="http://schemas.openxmlformats.org/officeDocument/2006/relationships/hyperlink" Target="https://www.myntra.com/tshirts/wrogn/wrogn-men-charcoal-grey--black-colourblocked-slim-fit-hood-pure-cotton-t-shirt/10410606/buy" TargetMode="External"/><Relationship Id="rId901" Type="http://schemas.openxmlformats.org/officeDocument/2006/relationships/hyperlink" Target="https://www.myntra.com/track-pants/harvard/harvard-women-teal-blue-solid-regular-fit-cropped-joggers/12374414/buy" TargetMode="External"/><Relationship Id="rId30" Type="http://schemas.openxmlformats.org/officeDocument/2006/relationships/hyperlink" Target="https://www.myntra.com/shorts/roadster/roadster-women-blue-solid-regular-fit-denim-shorts/11118428/buy" TargetMode="External"/><Relationship Id="rId126" Type="http://schemas.openxmlformats.org/officeDocument/2006/relationships/hyperlink" Target="https://www.myntra.com/bra/dressberry/dressberry-pink-solid-non-wired-non-padded-everyday-bra-db-soft-bra-007c/10939758/buy" TargetMode="External"/><Relationship Id="rId333" Type="http://schemas.openxmlformats.org/officeDocument/2006/relationships/hyperlink" Target="https://www.myntra.com/shirts/mast--harbour/mast--harbour-men-peach-coloured-slim-fit-printed-casual-shirt/8714027/buy" TargetMode="External"/><Relationship Id="rId540" Type="http://schemas.openxmlformats.org/officeDocument/2006/relationships/hyperlink" Target="https://www.myntra.com/jeans/roadster/roadster-men-black-slim-fit-mid-rise-clean-look-stretchable-jeans/10064533/buy" TargetMode="External"/><Relationship Id="rId778" Type="http://schemas.openxmlformats.org/officeDocument/2006/relationships/hyperlink" Target="https://www.myntra.com/sweatshirts/roadster/roadster-women-black-solid-hooded-sweatshirt/5960830/buy" TargetMode="External"/><Relationship Id="rId985" Type="http://schemas.openxmlformats.org/officeDocument/2006/relationships/hyperlink" Target="https://www.myntra.com/shirts/wrogn/wrogn-men-navy-checked-casual-shirt/1729361/buy" TargetMode="External"/><Relationship Id="rId638" Type="http://schemas.openxmlformats.org/officeDocument/2006/relationships/hyperlink" Target="https://www.myntra.com/tshirts/hrx-by-hrithik-roshan/hrx-by-hrithik-roshan-women-orange-solid-round-neck-t-shirt/8328571/buy" TargetMode="External"/><Relationship Id="rId845" Type="http://schemas.openxmlformats.org/officeDocument/2006/relationships/hyperlink" Target="https://www.myntra.com/track-pants/hrx-by-hrithik-roshan/hrx-by-hrithik-roshan-men-blue-solid-regular-fit-rapid-dry-cricket-track-pants/11640718/buy" TargetMode="External"/><Relationship Id="rId277" Type="http://schemas.openxmlformats.org/officeDocument/2006/relationships/hyperlink" Target="https://www.myntra.com/jeans/roadster/roadster-women-blue-skinny-fit-mid-rise-clean-look-stretchable-cropped-jeans/11541504/buy" TargetMode="External"/><Relationship Id="rId400" Type="http://schemas.openxmlformats.org/officeDocument/2006/relationships/hyperlink" Target="https://www.myntra.com/kurta-sets/anubhutee/anubhutee-women-navy-blue-ethnic-motifs-embroidered-thread-work-kurta-with-trousers--with-dupatta/16331376/buy" TargetMode="External"/><Relationship Id="rId484" Type="http://schemas.openxmlformats.org/officeDocument/2006/relationships/hyperlink" Target="https://www.myntra.com/track-pants/tokyo-talkies/tokyo-talkies-women-maroon-solid-port-royale-casual-straight-fit-track-pants/14154064/buy" TargetMode="External"/><Relationship Id="rId705" Type="http://schemas.openxmlformats.org/officeDocument/2006/relationships/hyperlink" Target="https://www.myntra.com/dresses/athena/athena-black-sheath-dress/11024458/buy" TargetMode="External"/><Relationship Id="rId137" Type="http://schemas.openxmlformats.org/officeDocument/2006/relationships/hyperlink" Target="https://www.myntra.com/jackets/hrx-by-hrithik-roshan/hrx-by-hrithik-roshan-men-black--grey-camouflage-printed-running-bomber-jacket/4453300/buy" TargetMode="External"/><Relationship Id="rId344" Type="http://schemas.openxmlformats.org/officeDocument/2006/relationships/hyperlink" Target="https://www.myntra.com/kurta-sets/anouk/anouk-women-mustard--turquoise-blue-printed-kurta-with-trousers/6611361/buy" TargetMode="External"/><Relationship Id="rId691" Type="http://schemas.openxmlformats.org/officeDocument/2006/relationships/hyperlink" Target="https://www.myntra.com/bra/enamor/enamor-skin-non-wired-non-padded-full-coverage-everyday-tshirt-bra-a027-/11818402/buy" TargetMode="External"/><Relationship Id="rId789" Type="http://schemas.openxmlformats.org/officeDocument/2006/relationships/hyperlink" Target="https://www.myntra.com/kurta-sets/stylum/stylum-women-blue-printed-layered-pure-cotton-kurta-with-trousers--with-dupatta/14440572/buy" TargetMode="External"/><Relationship Id="rId912" Type="http://schemas.openxmlformats.org/officeDocument/2006/relationships/hyperlink" Target="https://www.myntra.com/sarees/mitera/mitera-pink--green-art-silk-woven-design-half--half-banarasi-saree/11457308/buy" TargetMode="External"/><Relationship Id="rId996" Type="http://schemas.openxmlformats.org/officeDocument/2006/relationships/hyperlink" Target="https://www.myntra.com/lounge-pants/vimal/vimal-men-pack-of-2-solid-cotton-lounge-pants/13676452/buy" TargetMode="External"/><Relationship Id="rId41" Type="http://schemas.openxmlformats.org/officeDocument/2006/relationships/hyperlink" Target="https://www.myntra.com/shirts/roadster/roadster-men-sea-green-pure-cotton-sustainable-casual-shirt/12918912/buy" TargetMode="External"/><Relationship Id="rId83" Type="http://schemas.openxmlformats.org/officeDocument/2006/relationships/hyperlink" Target="https://www.myntra.com/tops/her-by-invictus/her-by-invictus-white-shirt-style-top/9240973/buy" TargetMode="External"/><Relationship Id="rId179" Type="http://schemas.openxmlformats.org/officeDocument/2006/relationships/hyperlink" Target="https://www.myntra.com/lounge-pants/hubberholme/hubberholme-men-solid-charcoal-grey-solid-lounge-pants/8613927/buy" TargetMode="External"/><Relationship Id="rId386" Type="http://schemas.openxmlformats.org/officeDocument/2006/relationships/hyperlink" Target="https://www.myntra.com/shirts/mast--harbour/mast--harbour-men-brown-slim-fit---casual-linen-cotton-sustainable-shirt/2444566/buy" TargetMode="External"/><Relationship Id="rId551" Type="http://schemas.openxmlformats.org/officeDocument/2006/relationships/hyperlink" Target="https://www.myntra.com/jeans/high-star/high-star-women-black-bootcut-high-rise-clean-look-stretchable-jeans/13265560/buy" TargetMode="External"/><Relationship Id="rId593" Type="http://schemas.openxmlformats.org/officeDocument/2006/relationships/hyperlink" Target="https://www.myntra.com/tshirts/roadster/the-roadster-lifestyle-co-women-black-solid-round-neck-pure-cotton-t-shirt/10301079/buy" TargetMode="External"/><Relationship Id="rId607" Type="http://schemas.openxmlformats.org/officeDocument/2006/relationships/hyperlink" Target="https://www.myntra.com/kurta-sets/nayo/nayo-women-pink--off-white-floral-screen-print-a-line-pure-cotton-kurta-set-with-dupatta/14346084/buy" TargetMode="External"/><Relationship Id="rId649" Type="http://schemas.openxmlformats.org/officeDocument/2006/relationships/hyperlink" Target="https://www.myntra.com/kurtas/tissu/tissu-women-blue-printed-anarkali-kurta/9301353/buy" TargetMode="External"/><Relationship Id="rId814" Type="http://schemas.openxmlformats.org/officeDocument/2006/relationships/hyperlink" Target="https://www.myntra.com/shirts/roadster/the-roadster-lifestyle-co-men-black--olive-green-tartan-checks-checked-cotton-casual-shirt/10944952/buy" TargetMode="External"/><Relationship Id="rId856" Type="http://schemas.openxmlformats.org/officeDocument/2006/relationships/hyperlink" Target="https://www.myntra.com/shirts/locomotive/locomotive-men-green--white-slim-fit-checked-casual-shirt/11069362/buy" TargetMode="External"/><Relationship Id="rId190" Type="http://schemas.openxmlformats.org/officeDocument/2006/relationships/hyperlink" Target="https://www.myntra.com/bra/dressberry/dressberry-black-solid-non-wired-non-padded-everyday-bra-db-wond-bra-006b/10939766/buy" TargetMode="External"/><Relationship Id="rId204" Type="http://schemas.openxmlformats.org/officeDocument/2006/relationships/hyperlink" Target="https://www.myntra.com/shirts/wrogn/wrogn-men-maroon--off-white-slim-fit-checked-casual-shirt/11361424/buy" TargetMode="External"/><Relationship Id="rId246" Type="http://schemas.openxmlformats.org/officeDocument/2006/relationships/hyperlink" Target="https://www.myntra.com/dresses/vishudh/vishudh-women-off-white--green-floral-print-a-line-dress/10016755/buy" TargetMode="External"/><Relationship Id="rId288" Type="http://schemas.openxmlformats.org/officeDocument/2006/relationships/hyperlink" Target="https://www.myntra.com/tshirts/roadster/roadster-men-blue-printed-round-neck-t-shirt/2308268/buy" TargetMode="External"/><Relationship Id="rId411" Type="http://schemas.openxmlformats.org/officeDocument/2006/relationships/hyperlink" Target="https://www.myntra.com/leggings/tag-7/tag-7-women-pack-of-2-solid-ankle-length-leggings/10662122/buy" TargetMode="External"/><Relationship Id="rId453" Type="http://schemas.openxmlformats.org/officeDocument/2006/relationships/hyperlink" Target="https://www.myntra.com/tops/scorpius/scorpius-women-pack-of-2-black-solid-crop-tops/9339767/buy" TargetMode="External"/><Relationship Id="rId509" Type="http://schemas.openxmlformats.org/officeDocument/2006/relationships/hyperlink" Target="https://www.myntra.com/dresses/sassafras/sassafras-cream-coloured--pink-floral-printed-maxi-dress/11364356/buy" TargetMode="External"/><Relationship Id="rId660" Type="http://schemas.openxmlformats.org/officeDocument/2006/relationships/hyperlink" Target="https://www.myntra.com/shirts/roadster/the-roadster-lifestyle-co-men-navy-blue-and-beige-pure-cotton-tartan-checked-casual-shirt/10398025/buy" TargetMode="External"/><Relationship Id="rId898" Type="http://schemas.openxmlformats.org/officeDocument/2006/relationships/hyperlink" Target="https://www.myntra.com/sarees/ishin/ishin-magenta--black-poly-georgette-printed-saree/9720893/buy" TargetMode="External"/><Relationship Id="rId106" Type="http://schemas.openxmlformats.org/officeDocument/2006/relationships/hyperlink" Target="https://www.myntra.com/kurta-sets/vishudh/vishudh-women-turquoise-blue--gold-toned-printed-kurti-with-palazzos/9673749/buy" TargetMode="External"/><Relationship Id="rId313" Type="http://schemas.openxmlformats.org/officeDocument/2006/relationships/hyperlink" Target="https://www.myntra.com/kurtas/sangria/sangria-women-blue--white-printed-straight-kurta/11173950/buy" TargetMode="External"/><Relationship Id="rId495" Type="http://schemas.openxmlformats.org/officeDocument/2006/relationships/hyperlink" Target="https://www.myntra.com/jeans/roadster/roadster-men-blue-skinny-fit-mid-rise-acid-wash-clean-look-stretchable-jeans/11274476/buy" TargetMode="External"/><Relationship Id="rId716" Type="http://schemas.openxmlformats.org/officeDocument/2006/relationships/hyperlink" Target="https://www.myntra.com/dresses/jaipur-kurti/jaipur-kurti-navy-blue--off-white-cotton-striped-a-line-dress/4704797/buy" TargetMode="External"/><Relationship Id="rId758" Type="http://schemas.openxmlformats.org/officeDocument/2006/relationships/hyperlink" Target="https://www.myntra.com/kurtas/herenow/herenow-women-black-self-striped-pure-cotton-straight-kurta/13404396/buy" TargetMode="External"/><Relationship Id="rId923" Type="http://schemas.openxmlformats.org/officeDocument/2006/relationships/hyperlink" Target="https://www.myntra.com/shirts/roadster/roadster-men-coffee-brown--black-checked-pure-cotton-sustainable-casual-shirt/11896036/buy" TargetMode="External"/><Relationship Id="rId965" Type="http://schemas.openxmlformats.org/officeDocument/2006/relationships/hyperlink" Target="https://www.myntra.com/lounge-pants/hubberholme/hubberholme-men-solid-grey-melange-solid-lounge-pants/8613929/buy" TargetMode="External"/><Relationship Id="rId10" Type="http://schemas.openxmlformats.org/officeDocument/2006/relationships/hyperlink" Target="https://www.myntra.com/jeans/herenow/herenow-men-blue-slim-fit-mid-rise-clean-look-ankle-length-stretchable-jeans/2359257/buy" TargetMode="External"/><Relationship Id="rId52" Type="http://schemas.openxmlformats.org/officeDocument/2006/relationships/hyperlink" Target="https://www.myntra.com/jackets/sassafras/sassafras-women-blue-solid-denim-jacket/10604500/buy" TargetMode="External"/><Relationship Id="rId94" Type="http://schemas.openxmlformats.org/officeDocument/2006/relationships/hyperlink" Target="https://www.myntra.com/tshirts/hrx-by-hrithik-roshan/hrx-by-hrithik-roshan-men-navy-blue-solid-training-t-shirt/10106025/buy" TargetMode="External"/><Relationship Id="rId148" Type="http://schemas.openxmlformats.org/officeDocument/2006/relationships/hyperlink" Target="https://www.myntra.com/tshirts/roadster/roadster-women-black--maroon-pack-of-2-typography-print-round-neck-regular-fit-t-shirts/17383018/buy" TargetMode="External"/><Relationship Id="rId355" Type="http://schemas.openxmlformats.org/officeDocument/2006/relationships/hyperlink" Target="https://www.myntra.com/kurtas/sangria/sangria-women-red-straight-fit-kurta-with-gota-patti-detail/9371507/buy" TargetMode="External"/><Relationship Id="rId397" Type="http://schemas.openxmlformats.org/officeDocument/2006/relationships/hyperlink" Target="https://www.myntra.com/trousers/tokyo-talkies/tokyo-talkies-women-black-straight-fit-solid-regular-trousers/12292256/buy" TargetMode="External"/><Relationship Id="rId520" Type="http://schemas.openxmlformats.org/officeDocument/2006/relationships/hyperlink" Target="https://www.myntra.com/sarees/tikhi-imli/tikhi-imli-black--red-polycotton-printed-saree/10381759/buy" TargetMode="External"/><Relationship Id="rId562" Type="http://schemas.openxmlformats.org/officeDocument/2006/relationships/hyperlink" Target="https://www.myntra.com/tshirts/bewakoof/bewakoof-women-black-solid-round-neck-pure-cotton-t-shirt/12331848/buy" TargetMode="External"/><Relationship Id="rId618" Type="http://schemas.openxmlformats.org/officeDocument/2006/relationships/hyperlink" Target="https://www.myntra.com/dresses/libas/libas-pink-chanderi-zari-work-anarkali-maxi-dress-with-pink-net-dupatta/14502098/buy" TargetMode="External"/><Relationship Id="rId825" Type="http://schemas.openxmlformats.org/officeDocument/2006/relationships/hyperlink" Target="https://www.myntra.com/track-pants/hubberholme/hubberholme-men-pack-of-2-solid-track-pants/15008088/buy" TargetMode="External"/><Relationship Id="rId215" Type="http://schemas.openxmlformats.org/officeDocument/2006/relationships/hyperlink" Target="https://www.myntra.com/shirts/mast--harbour/mast--harbour-men-blue-slim-fit--casual-linen-cotton-sustainable-shirt/2444567/buy" TargetMode="External"/><Relationship Id="rId257" Type="http://schemas.openxmlformats.org/officeDocument/2006/relationships/hyperlink" Target="https://www.myntra.com/shirts/highlander/highlander-men-sea-green-slim-fit-printed-casual-shirt/11964926/buy" TargetMode="External"/><Relationship Id="rId422" Type="http://schemas.openxmlformats.org/officeDocument/2006/relationships/hyperlink" Target="https://www.myntra.com/jeans/roadster/roadster-men-grey-slim-fit-mid-rise-clean-look-stretchable-jeans/9575361/buy" TargetMode="External"/><Relationship Id="rId464" Type="http://schemas.openxmlformats.org/officeDocument/2006/relationships/hyperlink" Target="https://www.myntra.com/tops/veni-vidi-vici/veni-vidi-vici-white-ruffled-bardot-top/7477729/buy" TargetMode="External"/><Relationship Id="rId867" Type="http://schemas.openxmlformats.org/officeDocument/2006/relationships/hyperlink" Target="https://www.myntra.com/kurtas/herenow/herenow-women-blue--olive-green-floral-printed-straight-kurta/12530334/buy" TargetMode="External"/><Relationship Id="rId299" Type="http://schemas.openxmlformats.org/officeDocument/2006/relationships/hyperlink" Target="https://www.myntra.com/jackets/roadster/the-roadster-lifestyle-co-men-olive-green-solid-hooded-tailored-jacket-with-detachable-hood/10617882/buy" TargetMode="External"/><Relationship Id="rId727" Type="http://schemas.openxmlformats.org/officeDocument/2006/relationships/hyperlink" Target="https://www.myntra.com/tops/la-zoire/la-zoire-green-sheer-knotted-top/807931/buy" TargetMode="External"/><Relationship Id="rId934" Type="http://schemas.openxmlformats.org/officeDocument/2006/relationships/hyperlink" Target="https://www.myntra.com/tops/all-about-you/all-about-you-yellow--off-white-floral-print-mandarin-collar-puff-sleeve-pure-cotton-top/13204882/buy" TargetMode="External"/><Relationship Id="rId63" Type="http://schemas.openxmlformats.org/officeDocument/2006/relationships/hyperlink" Target="https://www.myntra.com/kurta-sets/sangria/sangria-women-fuchsia--white-layered-printed-kurta-with-trousers/8350055/buy" TargetMode="External"/><Relationship Id="rId159" Type="http://schemas.openxmlformats.org/officeDocument/2006/relationships/hyperlink" Target="https://www.myntra.com/track-pants/hrx-by-hrithik-roshan/hrx-by-hrithik-roshan-women-navy-solid-joggers/2332166/buy" TargetMode="External"/><Relationship Id="rId366" Type="http://schemas.openxmlformats.org/officeDocument/2006/relationships/hyperlink" Target="https://www.myntra.com/tops/miss-chase/miss-chase-black-self-design-top/8935419/buy" TargetMode="External"/><Relationship Id="rId573" Type="http://schemas.openxmlformats.org/officeDocument/2006/relationships/hyperlink" Target="https://www.myntra.com/shirts/roadster/roadster-men-beige--red-checked-casual-reversible-sustainable-shirt/11896318/buy" TargetMode="External"/><Relationship Id="rId780" Type="http://schemas.openxmlformats.org/officeDocument/2006/relationships/hyperlink" Target="https://www.myntra.com/trousers/highlander/highlander-men-olive-green-slim-fit-joggers/2343637/buy" TargetMode="External"/><Relationship Id="rId226" Type="http://schemas.openxmlformats.org/officeDocument/2006/relationships/hyperlink" Target="https://www.myntra.com/jeans/roadster-fast-and-furious/roadster-fast-and-furious-men-blue-slim-fit-mid-rise-clean-look-stretchable-jeans/4451362/buy" TargetMode="External"/><Relationship Id="rId433" Type="http://schemas.openxmlformats.org/officeDocument/2006/relationships/hyperlink" Target="https://www.myntra.com/tshirts/roadster/roadster-women-pack-of-2-pure-cotton-t-shirts/2025239/buy" TargetMode="External"/><Relationship Id="rId878" Type="http://schemas.openxmlformats.org/officeDocument/2006/relationships/hyperlink" Target="https://www.myntra.com/sarees/mitera/mitera-navy-blue-sequinned-pure-georgette-saree/12047292/buy" TargetMode="External"/><Relationship Id="rId640" Type="http://schemas.openxmlformats.org/officeDocument/2006/relationships/hyperlink" Target="https://www.myntra.com/tshirts/herenow/herenow-men-white-striped-cotton-pure-cotton-t-shirt/4318093/buy" TargetMode="External"/><Relationship Id="rId738" Type="http://schemas.openxmlformats.org/officeDocument/2006/relationships/hyperlink" Target="https://www.myntra.com/trunk/levis/levis-men-charcoal-grey-solid--trunks-bb-100ca-1pk-style-010-46/9261285/buy" TargetMode="External"/><Relationship Id="rId945" Type="http://schemas.openxmlformats.org/officeDocument/2006/relationships/hyperlink" Target="https://www.myntra.com/tshirts/hrx-by-hrithik-roshan/hrx-by-hrithik-roshan-lifestyle-men-pack-of-2-round-neck-tshirts/16322466/buy" TargetMode="External"/><Relationship Id="rId74" Type="http://schemas.openxmlformats.org/officeDocument/2006/relationships/hyperlink" Target="https://www.myntra.com/jeans/wrogn/wrogn-men-blue-slim-fit-mid-rise-clean-look-stretchable-jeans/6832275/buy" TargetMode="External"/><Relationship Id="rId377" Type="http://schemas.openxmlformats.org/officeDocument/2006/relationships/hyperlink" Target="https://www.myntra.com/tshirts/mast--harbour/mast--harbour-men-multicoloured-striped-round-neck-t-shirt/8301909/buy" TargetMode="External"/><Relationship Id="rId500" Type="http://schemas.openxmlformats.org/officeDocument/2006/relationships/hyperlink" Target="https://www.myntra.com/tshirts/roadster/-roadster-women-pack-of-2-cotton-t-shirts/17382688/buy" TargetMode="External"/><Relationship Id="rId584" Type="http://schemas.openxmlformats.org/officeDocument/2006/relationships/hyperlink" Target="https://www.myntra.com/dresses/berrylush/berrylush-navy-blue-floral-printed-fit-and-flare-dress/13191668/buy" TargetMode="External"/><Relationship Id="rId805" Type="http://schemas.openxmlformats.org/officeDocument/2006/relationships/hyperlink" Target="https://www.myntra.com/trousers/highlander/highlander-men-grey-slim-fit-solid-chinos/3077245/buy" TargetMode="External"/><Relationship Id="rId5" Type="http://schemas.openxmlformats.org/officeDocument/2006/relationships/hyperlink" Target="https://www.myntra.com/tshirts/roadster/roadster-women-white-solid-v-neck-pure-cotton-t-shirt/11690882/buy" TargetMode="External"/><Relationship Id="rId237" Type="http://schemas.openxmlformats.org/officeDocument/2006/relationships/hyperlink" Target="https://www.myntra.com/tshirts/roadster/roadster-men-navy-blue--mustard-brown-striped-detail-v-neck-pure-cotton-t-shirt/9329675/buy" TargetMode="External"/><Relationship Id="rId791" Type="http://schemas.openxmlformats.org/officeDocument/2006/relationships/hyperlink" Target="https://www.myntra.com/kurtis/tissu/tissu-women-beige--red-floral-printed-straight-kurti/11759904/buy" TargetMode="External"/><Relationship Id="rId889" Type="http://schemas.openxmlformats.org/officeDocument/2006/relationships/hyperlink" Target="https://www.myntra.com/tshirts/mast--harbour/mast--harbour-women-twin-collection-white--navy-blue-striped-round-neck-pure-cotton-t-shirt/8315901/buy" TargetMode="External"/><Relationship Id="rId444" Type="http://schemas.openxmlformats.org/officeDocument/2006/relationships/hyperlink" Target="https://www.myntra.com/tops/pluss/pluss-women-pastel-green-embroidered-peplum-top/8126453/buy" TargetMode="External"/><Relationship Id="rId651" Type="http://schemas.openxmlformats.org/officeDocument/2006/relationships/hyperlink" Target="https://www.myntra.com/bra/clovia/clovia-maroon-cotton-non-padded-non-wired-bra-with-u-back/1413902/buy" TargetMode="External"/><Relationship Id="rId749" Type="http://schemas.openxmlformats.org/officeDocument/2006/relationships/hyperlink" Target="https://www.myntra.com/shirts/highlander/highlander-men-white--navy-blue-slim-fit-printed-casual-shirt/10004111/buy" TargetMode="External"/><Relationship Id="rId290" Type="http://schemas.openxmlformats.org/officeDocument/2006/relationships/hyperlink" Target="https://www.myntra.com/jumpsuit/sera/sera-blue--peach-coloured-printed-playsuit/3452046/buy" TargetMode="External"/><Relationship Id="rId304" Type="http://schemas.openxmlformats.org/officeDocument/2006/relationships/hyperlink" Target="https://www.myntra.com/jeans/highlander/highlander-men-black-tapered-fit-jeans/15228444/buy" TargetMode="External"/><Relationship Id="rId388" Type="http://schemas.openxmlformats.org/officeDocument/2006/relationships/hyperlink" Target="https://www.myntra.com/tops/harpa/harpa-women-yellow-floral-printed-round-neck-top/13377766/buy" TargetMode="External"/><Relationship Id="rId511" Type="http://schemas.openxmlformats.org/officeDocument/2006/relationships/hyperlink" Target="https://www.myntra.com/jeans/roadster/roadster-men-black-skinny-fit-mid-rise-clean-look-stretchable-lycra-fiber-jeans/9716723/buy" TargetMode="External"/><Relationship Id="rId609" Type="http://schemas.openxmlformats.org/officeDocument/2006/relationships/hyperlink" Target="https://www.myntra.com/kurtas/sangria/sangria-black--white-striped-a-line-kurta/9371099/buy" TargetMode="External"/><Relationship Id="rId956" Type="http://schemas.openxmlformats.org/officeDocument/2006/relationships/hyperlink" Target="https://www.myntra.com/kurtas/taavi/taavi-men-maroon--black-bagru-printed-straight-sustainable-kurta-with-roll-up-sleeves/10384141/buy" TargetMode="External"/><Relationship Id="rId85" Type="http://schemas.openxmlformats.org/officeDocument/2006/relationships/hyperlink" Target="https://www.myntra.com/jackets/street-9/street-9-women-white-solid-crop-jacket/7772505/buy" TargetMode="External"/><Relationship Id="rId150" Type="http://schemas.openxmlformats.org/officeDocument/2006/relationships/hyperlink" Target="https://www.myntra.com/kurtas/anouk/anouk-women-blue--pink-floral-print-a-line-kurta/2472860/buy" TargetMode="External"/><Relationship Id="rId595" Type="http://schemas.openxmlformats.org/officeDocument/2006/relationships/hyperlink" Target="https://www.myntra.com/jeans/wrogn/wrogn-men-blue-skinny-fit-mid-rise-clean-look-stretchable-jeans/8673407/buy" TargetMode="External"/><Relationship Id="rId816" Type="http://schemas.openxmlformats.org/officeDocument/2006/relationships/hyperlink" Target="https://www.myntra.com/jeans/high-star/high-star-women-black-slim-fit-high-rise-clean-look-stretchable-jeans/11554556/buy" TargetMode="External"/><Relationship Id="rId1001" Type="http://schemas.openxmlformats.org/officeDocument/2006/relationships/printerSettings" Target="../printerSettings/printerSettings1.bin"/><Relationship Id="rId248" Type="http://schemas.openxmlformats.org/officeDocument/2006/relationships/hyperlink" Target="https://www.myntra.com/jeans/tokyo-talkies/tokyo-talkies-women-black-skinny-fit-mid-rise-slash-knee-stretchable-jeans/9440745/buy" TargetMode="External"/><Relationship Id="rId455" Type="http://schemas.openxmlformats.org/officeDocument/2006/relationships/hyperlink" Target="https://www.myntra.com/kurtas/taavi/taavi-men-indigo-hand-block-printed-straight-sustainable-kurta-with-roll-up-sleeves/9304671/buy" TargetMode="External"/><Relationship Id="rId662" Type="http://schemas.openxmlformats.org/officeDocument/2006/relationships/hyperlink" Target="https://www.myntra.com/sarees/tikhi-imli/tikhi-imli-trendy-mauve-sleek-poly-crepe-saree-with-embellished-border--cape/13919148/buy" TargetMode="External"/><Relationship Id="rId12" Type="http://schemas.openxmlformats.org/officeDocument/2006/relationships/hyperlink" Target="https://www.myntra.com/tshirts/roadster/roadster-men-navy-blue--white-striped-polo-collar-pure-cotton-t-shirt/10307375/buy" TargetMode="External"/><Relationship Id="rId108" Type="http://schemas.openxmlformats.org/officeDocument/2006/relationships/hyperlink" Target="https://www.myntra.com/tshirts/ether/ether-women-navy-blue-solid-high-neck-t-shirt/11900306/buy" TargetMode="External"/><Relationship Id="rId315" Type="http://schemas.openxmlformats.org/officeDocument/2006/relationships/hyperlink" Target="https://www.myntra.com/shirts/harvard/harvard-blue-casual-denim-shirt/1718905/buy" TargetMode="External"/><Relationship Id="rId522" Type="http://schemas.openxmlformats.org/officeDocument/2006/relationships/hyperlink" Target="https://www.myntra.com/jeans/roadster/roadster-men-blue-premium-mildly-distressed-acid-wash-skinny-fit-stretchable-lycra-fiber-jeans/9114357/buy" TargetMode="External"/><Relationship Id="rId967" Type="http://schemas.openxmlformats.org/officeDocument/2006/relationships/hyperlink" Target="https://www.myntra.com/bra/floret/floret-pack-of-2-full-coverage-maternity-bras/762418/buy" TargetMode="External"/><Relationship Id="rId96" Type="http://schemas.openxmlformats.org/officeDocument/2006/relationships/hyperlink" Target="https://www.myntra.com/sarees/tikhi-imli/tikhi-imli-yellow-embellished-poly-georgette-saree/11263958/buy" TargetMode="External"/><Relationship Id="rId161" Type="http://schemas.openxmlformats.org/officeDocument/2006/relationships/hyperlink" Target="https://www.myntra.com/dresses/vishudh/vishudh-women-grey--mustard-yellow-printed-a-line-dress/11544142/buy" TargetMode="External"/><Relationship Id="rId399" Type="http://schemas.openxmlformats.org/officeDocument/2006/relationships/hyperlink" Target="https://www.myntra.com/kurta-sets/ahika/ahika-women-maroon--brown-printed-kurta-with-trousers--dupatta/13415698/buy" TargetMode="External"/><Relationship Id="rId827" Type="http://schemas.openxmlformats.org/officeDocument/2006/relationships/hyperlink" Target="https://www.myntra.com/jeans/highlander/highlander-men-black-solid-jogger-mid-rise-clean-look-stretchable-jeans/5814349/buy" TargetMode="External"/><Relationship Id="rId259" Type="http://schemas.openxmlformats.org/officeDocument/2006/relationships/hyperlink" Target="https://www.myntra.com/tops/athena/athena-burgundy-pleated-bardot-top/10733250/buy" TargetMode="External"/><Relationship Id="rId466" Type="http://schemas.openxmlformats.org/officeDocument/2006/relationships/hyperlink" Target="https://www.myntra.com/shirts/wrogn/wrogn-men-rust-orange-checked-slim-casual-shirt/1427701/buy" TargetMode="External"/><Relationship Id="rId673" Type="http://schemas.openxmlformats.org/officeDocument/2006/relationships/hyperlink" Target="https://www.myntra.com/tshirts/campus-sutra/campus-sutra-men-blue-solid-round-neck-pure-cotton-t-shirt/10017021/buy" TargetMode="External"/><Relationship Id="rId880" Type="http://schemas.openxmlformats.org/officeDocument/2006/relationships/hyperlink" Target="https://www.myntra.com/bra/amante/amante-nude-printed-non-wired-lightly-padded-t-shirt-bra/1839663/buy" TargetMode="External"/><Relationship Id="rId23" Type="http://schemas.openxmlformats.org/officeDocument/2006/relationships/hyperlink" Target="https://www.myntra.com/bra/enamor/enamor-black-non-wired-removable-pads-high-coverage-medium-impact-sports-bra-sb08/1864573/buy" TargetMode="External"/><Relationship Id="rId119" Type="http://schemas.openxmlformats.org/officeDocument/2006/relationships/hyperlink" Target="https://www.myntra.com/kurtas/herenow/herenow-women-charcoal-grey--golden-ethnic-motif-print-straight-kurta/12524810/buy" TargetMode="External"/><Relationship Id="rId326" Type="http://schemas.openxmlformats.org/officeDocument/2006/relationships/hyperlink" Target="https://www.myntra.com/tshirts/mast--harbour/mast--harbour-women-off-white-printed-round-neck-t-shirt/8325439/buy" TargetMode="External"/><Relationship Id="rId533" Type="http://schemas.openxmlformats.org/officeDocument/2006/relationships/hyperlink" Target="https://www.myntra.com/tshirts/herenow/herenow-love-is-in-the-air-boxy-t-shirt/8813173/buy" TargetMode="External"/><Relationship Id="rId978" Type="http://schemas.openxmlformats.org/officeDocument/2006/relationships/hyperlink" Target="https://www.myntra.com/tops/pluss/pluss-purple-self-design-crop-top/12150618/buy" TargetMode="External"/><Relationship Id="rId740" Type="http://schemas.openxmlformats.org/officeDocument/2006/relationships/hyperlink" Target="https://www.myntra.com/kurtas/anouk/anouk-women-navy-blue-printed-straight-kurta/12135220/buy" TargetMode="External"/><Relationship Id="rId838" Type="http://schemas.openxmlformats.org/officeDocument/2006/relationships/hyperlink" Target="https://www.myntra.com/shirts/highlander/highlander-men-blue--white-slim-fit-colourblocked-casual-shirt/10004115/buy" TargetMode="External"/><Relationship Id="rId172" Type="http://schemas.openxmlformats.org/officeDocument/2006/relationships/hyperlink" Target="https://www.myntra.com/tshirts/roadster/roadster-women-off-white-solid-round-neck-pure-cotton-t-shirt-with-piping-detail/11296016/buy" TargetMode="External"/><Relationship Id="rId477" Type="http://schemas.openxmlformats.org/officeDocument/2006/relationships/hyperlink" Target="https://www.myntra.com/jeans/roadster/the-roadster-lifestyle-co-men-blue-slim-fit-mid-rise-clean-look-stretchable-jeans/10930336/buy" TargetMode="External"/><Relationship Id="rId600" Type="http://schemas.openxmlformats.org/officeDocument/2006/relationships/hyperlink" Target="https://www.myntra.com/dresses/anouk/anouk-women-mustard-printed-fit-and-flare-dress/7745356/buy" TargetMode="External"/><Relationship Id="rId684" Type="http://schemas.openxmlformats.org/officeDocument/2006/relationships/hyperlink" Target="https://www.myntra.com/tshirts/roadster/roadster-women-green--maroon-pack-of-2-printed-round-neck-pure-cotton-t-shirts/17383350/buy" TargetMode="External"/><Relationship Id="rId337" Type="http://schemas.openxmlformats.org/officeDocument/2006/relationships/hyperlink" Target="https://www.myntra.com/dresses/berrylush/berrylush-white-floral-printed-fit-and-flare-dress/11109396/buy" TargetMode="External"/><Relationship Id="rId891" Type="http://schemas.openxmlformats.org/officeDocument/2006/relationships/hyperlink" Target="https://www.myntra.com/tshirts/louis-philippe-sport/louis-philippe-sport-men-purple-brand-logo-polo-collar-t-shirt/14311864/buy" TargetMode="External"/><Relationship Id="rId905" Type="http://schemas.openxmlformats.org/officeDocument/2006/relationships/hyperlink" Target="https://www.myntra.com/track-pants/tokyo-talkies/tokyo-talkies-women-brown-solid-slim-fit-track-pants/14062988/buy" TargetMode="External"/><Relationship Id="rId989" Type="http://schemas.openxmlformats.org/officeDocument/2006/relationships/hyperlink" Target="https://www.myntra.com/tops/hrx-by-hrithik-roshan/hrx-by-hrithik-roshan-black-rapid-dry-tank-top/8010357/buy" TargetMode="External"/><Relationship Id="rId34" Type="http://schemas.openxmlformats.org/officeDocument/2006/relationships/hyperlink" Target="https://www.myntra.com/jumpsuit/quiero/quiero-women-maroon-wrap-detail-jumpsuit/10771696/buy" TargetMode="External"/><Relationship Id="rId544" Type="http://schemas.openxmlformats.org/officeDocument/2006/relationships/hyperlink" Target="https://www.myntra.com/kurtas/varanga/varanga-women-lime-green-striped-kurta/14489508/buy" TargetMode="External"/><Relationship Id="rId751" Type="http://schemas.openxmlformats.org/officeDocument/2006/relationships/hyperlink" Target="https://www.myntra.com/shirts/highlander/highlander-blue-slim-fit-casual-shirt/1272492/buy" TargetMode="External"/><Relationship Id="rId849" Type="http://schemas.openxmlformats.org/officeDocument/2006/relationships/hyperlink" Target="https://www.myntra.com/bra/zivame/zivame-peach-coloured-solid-non-wired-non-padded-everyday-bra/11228146/buy" TargetMode="External"/><Relationship Id="rId183" Type="http://schemas.openxmlformats.org/officeDocument/2006/relationships/hyperlink" Target="https://www.myntra.com/tshirts/roadster/the-roadster-lifestyle-co-women-black-solid-round-neck-pure-cotton-t-shirt-with-printed-detailing/10968574/buy" TargetMode="External"/><Relationship Id="rId390" Type="http://schemas.openxmlformats.org/officeDocument/2006/relationships/hyperlink" Target="https://www.myntra.com/tshirts/bewakoof/bewakoof-men-white-solid-round-neck-pure-cotton-t-shirt/13819100/buy" TargetMode="External"/><Relationship Id="rId404" Type="http://schemas.openxmlformats.org/officeDocument/2006/relationships/hyperlink" Target="https://www.myntra.com/jeans/roadster/roadster-women-blue-skinny-fit-high-rise-clean-look-stretchable-cropped-jeans/6831717/buy" TargetMode="External"/><Relationship Id="rId611" Type="http://schemas.openxmlformats.org/officeDocument/2006/relationships/hyperlink" Target="https://www.myntra.com/jeans/roadster/roadster-men-grey-slim-fit-mid-rise-clean-look-stretchable-jeans/8962319/buy" TargetMode="External"/><Relationship Id="rId250" Type="http://schemas.openxmlformats.org/officeDocument/2006/relationships/hyperlink" Target="https://www.myntra.com/kurtas/herenow/herenow-women-magenta-solid-straight-kurta/4450322/buy" TargetMode="External"/><Relationship Id="rId488" Type="http://schemas.openxmlformats.org/officeDocument/2006/relationships/hyperlink" Target="https://www.myntra.com/tshirts/hrx-by-hrithik-roshan/hrx-by-hrithik-roshan-men-pack-of-2-t-shirts/16324074/buy" TargetMode="External"/><Relationship Id="rId695" Type="http://schemas.openxmlformats.org/officeDocument/2006/relationships/hyperlink" Target="https://www.myntra.com/dresses/shae-by-sassafras/shae-by-sassafras-women-white--navy-blue-printed-a-line-dress/11349910/buy" TargetMode="External"/><Relationship Id="rId709" Type="http://schemas.openxmlformats.org/officeDocument/2006/relationships/hyperlink" Target="https://www.myntra.com/shirts/roadster/roadster-women-white-self-striped-casual-shirt/9656259/buy" TargetMode="External"/><Relationship Id="rId916" Type="http://schemas.openxmlformats.org/officeDocument/2006/relationships/hyperlink" Target="https://www.myntra.com/shorts/roadster/roadster-men-beige-printed-regular-fit-chino-shorts/2387568/buy" TargetMode="External"/><Relationship Id="rId45" Type="http://schemas.openxmlformats.org/officeDocument/2006/relationships/hyperlink" Target="https://www.myntra.com/jackets/stylestone/stylestone-women-blue-solid-denim-jacket/7526008/buy" TargetMode="External"/><Relationship Id="rId110" Type="http://schemas.openxmlformats.org/officeDocument/2006/relationships/hyperlink" Target="https://www.myntra.com/trunk/jockey/jockey-men-pack-of-2-navy-blue-solid-trunks/11638588/buy" TargetMode="External"/><Relationship Id="rId348" Type="http://schemas.openxmlformats.org/officeDocument/2006/relationships/hyperlink" Target="https://www.myntra.com/shirts/herenow/herenow-men-blue-regular-fit-printed-casual-shirt/8943339/buy" TargetMode="External"/><Relationship Id="rId555" Type="http://schemas.openxmlformats.org/officeDocument/2006/relationships/hyperlink" Target="https://www.myntra.com/lounge-pants/claura/claura-women-pack-of-2-black--grey-lounge-pants-lower-11-grey-blak/6632589/buy" TargetMode="External"/><Relationship Id="rId762" Type="http://schemas.openxmlformats.org/officeDocument/2006/relationships/hyperlink" Target="https://www.myntra.com/track-pants/herenow/herenow-men-navy-solid-straight-fit-joggers/5395406/buy" TargetMode="External"/><Relationship Id="rId194" Type="http://schemas.openxmlformats.org/officeDocument/2006/relationships/hyperlink" Target="https://www.myntra.com/jeans/herenow/herenow-men-blue-slim-fit-mid-rise-cropped-clean-look-stretchable-jeans/2133029/buy" TargetMode="External"/><Relationship Id="rId208" Type="http://schemas.openxmlformats.org/officeDocument/2006/relationships/hyperlink" Target="https://www.myntra.com/jeans/wrogn/wrogn-navy-slim-fit-low-distressed-stretchable-jeans/1729302/buy" TargetMode="External"/><Relationship Id="rId415" Type="http://schemas.openxmlformats.org/officeDocument/2006/relationships/hyperlink" Target="https://www.myntra.com/kurta-sets/sangria/sangria-women-maroon--golden-pure-cotton-printed-kurta-with-palazzos/13437250/buy" TargetMode="External"/><Relationship Id="rId622" Type="http://schemas.openxmlformats.org/officeDocument/2006/relationships/hyperlink" Target="https://www.myntra.com/shirts/mast--harbour/mast--harbour-men-mustard-slim-fit-casual-shirt/2271714/buy" TargetMode="External"/><Relationship Id="rId261" Type="http://schemas.openxmlformats.org/officeDocument/2006/relationships/hyperlink" Target="https://www.myntra.com/shirts/mast--harbour/mast--harbour-men-maroon-slim-fit-casual-shirt/10343471/buy" TargetMode="External"/><Relationship Id="rId499" Type="http://schemas.openxmlformats.org/officeDocument/2006/relationships/hyperlink" Target="https://www.myntra.com/dresses/sassafras/sassafras-sea-green--red-floral-print-a-line-dress/1774662/buy" TargetMode="External"/><Relationship Id="rId927" Type="http://schemas.openxmlformats.org/officeDocument/2006/relationships/hyperlink" Target="https://www.myntra.com/jeans/roadster/roadster-women-navy-skinny-fit-mid-rise-clean-look-stretchable-cropped-jeans/6995097/buy" TargetMode="External"/><Relationship Id="rId56" Type="http://schemas.openxmlformats.org/officeDocument/2006/relationships/hyperlink" Target="https://www.myntra.com/shirts/highlander/highlander-men-white-slim-fit-solid-casual-shirt/2888727/buy" TargetMode="External"/><Relationship Id="rId359" Type="http://schemas.openxmlformats.org/officeDocument/2006/relationships/hyperlink" Target="https://www.myntra.com/kurtas/hangup/hangup-men-black-solid-pathani-kurta/2453736/buy" TargetMode="External"/><Relationship Id="rId566" Type="http://schemas.openxmlformats.org/officeDocument/2006/relationships/hyperlink" Target="https://www.myntra.com/jeggings/dressberry/dressberry-women-black-washed-super-skinny-fit-jeggings/10967126/buy" TargetMode="External"/><Relationship Id="rId773" Type="http://schemas.openxmlformats.org/officeDocument/2006/relationships/hyperlink" Target="https://www.myntra.com/tshirts/ether/ether-women-black-solid-v-neck-t-shirt/11900390/buy" TargetMode="External"/><Relationship Id="rId121" Type="http://schemas.openxmlformats.org/officeDocument/2006/relationships/hyperlink" Target="https://www.myntra.com/tshirts/roadster/-roadster-women-pack-of-2-cotton-t-shirts/17382690/buy" TargetMode="External"/><Relationship Id="rId219" Type="http://schemas.openxmlformats.org/officeDocument/2006/relationships/hyperlink" Target="https://www.myntra.com/tshirts/herenow/herenow-women-pack-of-2-solid-round-neck-pure-cotton-t-shirts/9435685/buy" TargetMode="External"/><Relationship Id="rId426" Type="http://schemas.openxmlformats.org/officeDocument/2006/relationships/hyperlink" Target="https://www.myntra.com/dresses/myshka/myshka-maroon--golden-ethnic-motifs-printed-cotton-maxi-dress/11629168/buy" TargetMode="External"/><Relationship Id="rId633" Type="http://schemas.openxmlformats.org/officeDocument/2006/relationships/hyperlink" Target="https://www.myntra.com/tshirts/roadster/roadster-women-pack-of-2-solid-t-shirts/17381392/buy" TargetMode="External"/><Relationship Id="rId980" Type="http://schemas.openxmlformats.org/officeDocument/2006/relationships/hyperlink" Target="https://www.myntra.com/skirts/tokyo-talkies/tokyo-talkies-navy-blue-a-line-pure-cotton-skirt/13275212/buy" TargetMode="External"/><Relationship Id="rId840" Type="http://schemas.openxmlformats.org/officeDocument/2006/relationships/hyperlink" Target="https://www.myntra.com/kurta-sets/see-designs/see-designs-men-blue--white-printed-kurta-with-pyjamas/12960838/buy" TargetMode="External"/><Relationship Id="rId938" Type="http://schemas.openxmlformats.org/officeDocument/2006/relationships/hyperlink" Target="https://www.myntra.com/lounge-shorts/us-polo-assn/us-polo-assn-men-pack-of-2-grey-solid-lounge-shorts/17977458/buy" TargetMode="External"/><Relationship Id="rId67" Type="http://schemas.openxmlformats.org/officeDocument/2006/relationships/hyperlink" Target="https://www.myntra.com/kurta-sets/azira/azira-women-green-printed-kurta-with-palazzos--dupatta/13141478/buy" TargetMode="External"/><Relationship Id="rId272" Type="http://schemas.openxmlformats.org/officeDocument/2006/relationships/hyperlink" Target="https://www.myntra.com/tshirts/roadster/roadster-women-green--teal-blue-pack-of-2-printed-round-neck-t-shirts/17383352/buy" TargetMode="External"/><Relationship Id="rId577" Type="http://schemas.openxmlformats.org/officeDocument/2006/relationships/hyperlink" Target="https://www.myntra.com/tops/pluss/pluss-women-sea-green-self-design-peplum-top/6521613/buy" TargetMode="External"/><Relationship Id="rId700" Type="http://schemas.openxmlformats.org/officeDocument/2006/relationships/hyperlink" Target="https://www.myntra.com/dresses/kassually/kassually-women-rose--maroon-colourblocked-blouson-dress/11535972/buy" TargetMode="External"/><Relationship Id="rId132" Type="http://schemas.openxmlformats.org/officeDocument/2006/relationships/hyperlink" Target="https://www.myntra.com/night-suits/claura/claura-women-yellow--white-printed-night-suit-cot-108-yellow-lt/7487820/buy" TargetMode="External"/><Relationship Id="rId784" Type="http://schemas.openxmlformats.org/officeDocument/2006/relationships/hyperlink" Target="https://www.myntra.com/night-suits/smarty-pants/smarty-pants-women-grey--maroon-pack-of-2-fall-winter-printed-night-suit/17801492/buy" TargetMode="External"/><Relationship Id="rId991" Type="http://schemas.openxmlformats.org/officeDocument/2006/relationships/hyperlink" Target="https://www.myntra.com/tshirts/wrogn/wrogn-men-black-solid-slim-fit-polo-collar-pure-cotton-t-shirt/10410716/buy" TargetMode="External"/><Relationship Id="rId437" Type="http://schemas.openxmlformats.org/officeDocument/2006/relationships/hyperlink" Target="https://www.myntra.com/jeans/locomotive/locomotive-men-black-tapered-fit-mid-rise-clean-look-stretchable-jeans/7726426/buy" TargetMode="External"/><Relationship Id="rId644" Type="http://schemas.openxmlformats.org/officeDocument/2006/relationships/hyperlink" Target="https://www.myntra.com/track-pants/tokyo-talkies/tokyo-talkies-women-mint-green-solid-track-pants/14170722/buy" TargetMode="External"/><Relationship Id="rId851" Type="http://schemas.openxmlformats.org/officeDocument/2006/relationships/hyperlink" Target="https://www.myntra.com/sweatshirts/roadster/roadster-greenturn-women-pink-solid-hooded-sustainable-sweatshirt/12335282/buy" TargetMode="External"/><Relationship Id="rId283" Type="http://schemas.openxmlformats.org/officeDocument/2006/relationships/hyperlink" Target="https://www.myntra.com/tshirts/ether/ether-women-pack-of-2-pure-cotton-t-shirts/11431386/buy" TargetMode="External"/><Relationship Id="rId490" Type="http://schemas.openxmlformats.org/officeDocument/2006/relationships/hyperlink" Target="https://www.myntra.com/tshirts/roadster/roadster-men-green-melange-solid-v-neck-t-shirt/1996729/buy" TargetMode="External"/><Relationship Id="rId504" Type="http://schemas.openxmlformats.org/officeDocument/2006/relationships/hyperlink" Target="https://www.myntra.com/shorts/dressberry/dressberry-women-stylish-black-solid-fringed-shorts/11264142/buy" TargetMode="External"/><Relationship Id="rId711" Type="http://schemas.openxmlformats.org/officeDocument/2006/relationships/hyperlink" Target="https://www.myntra.com/shorts/artengo-by-decathlon/artengo-by-decathlon-men-white-solid-regular-fit-shorts/12991924/buy" TargetMode="External"/><Relationship Id="rId949" Type="http://schemas.openxmlformats.org/officeDocument/2006/relationships/hyperlink" Target="https://www.myntra.com/tshirts/roadster/roadster-women-navy-blue--mauve-pink-pack-of-2-printed-round-neck-knitted-t-shirts/17383642/buy" TargetMode="External"/><Relationship Id="rId78" Type="http://schemas.openxmlformats.org/officeDocument/2006/relationships/hyperlink" Target="https://www.myntra.com/tops/taavi/taavi-white--orange-hand-block-print-smocked-legacy-sustainable-pure-cotton-a-line-top/11157486/buy" TargetMode="External"/><Relationship Id="rId143" Type="http://schemas.openxmlformats.org/officeDocument/2006/relationships/hyperlink" Target="https://www.myntra.com/tshirts/roadster/roadster-women-olive-green-solid-round-neck-t-shirt/1753425/buy" TargetMode="External"/><Relationship Id="rId350" Type="http://schemas.openxmlformats.org/officeDocument/2006/relationships/hyperlink" Target="https://www.myntra.com/tops/sassafras/sassafras-red-pure-cotton-fitted-crop-top/13843034/buy" TargetMode="External"/><Relationship Id="rId588" Type="http://schemas.openxmlformats.org/officeDocument/2006/relationships/hyperlink" Target="https://www.myntra.com/kurta-sets/ahalyaa/ahalyaa-women-green--burgundy-printed-kurta-with-churidar--dupatta/11080108/buy" TargetMode="External"/><Relationship Id="rId795" Type="http://schemas.openxmlformats.org/officeDocument/2006/relationships/hyperlink" Target="https://www.myntra.com/tshirts/roadster/the-roadster-lifestyle-co-women-mustard-yellow-solid-polo-collar-pure-cotton-t-shirt/10969750/buy" TargetMode="External"/><Relationship Id="rId809" Type="http://schemas.openxmlformats.org/officeDocument/2006/relationships/hyperlink" Target="https://www.myntra.com/shirts/roadster/roadster-men-white--black-geometric-printed-pure-cotton-sustainable-casual-shirt/11325776/buy" TargetMode="External"/><Relationship Id="rId9" Type="http://schemas.openxmlformats.org/officeDocument/2006/relationships/hyperlink" Target="https://www.myntra.com/tshirts/roadster/roadster-women-pack-of-2-solid-t-shirts/17381394/buy" TargetMode="External"/><Relationship Id="rId210" Type="http://schemas.openxmlformats.org/officeDocument/2006/relationships/hyperlink" Target="https://www.myntra.com/shirts/highlander/highlander-men-khaki-solid-slim-fit-solid-casual-shirt/2041659/buy" TargetMode="External"/><Relationship Id="rId448" Type="http://schemas.openxmlformats.org/officeDocument/2006/relationships/hyperlink" Target="https://www.myntra.com/tops/dressberry/dressberry-navy-blue-self-striped-fitted-top/11271956/buy" TargetMode="External"/><Relationship Id="rId655" Type="http://schemas.openxmlformats.org/officeDocument/2006/relationships/hyperlink" Target="https://www.myntra.com/shrug/sassafras/sassafras-women-green-solid-open-front-longline-shrug/12738028/buy" TargetMode="External"/><Relationship Id="rId862" Type="http://schemas.openxmlformats.org/officeDocument/2006/relationships/hyperlink" Target="https://www.myntra.com/shorts/highlander/highlander-men-black-washed-slim-fit-denim-shorts/8120171/buy" TargetMode="External"/><Relationship Id="rId294" Type="http://schemas.openxmlformats.org/officeDocument/2006/relationships/hyperlink" Target="https://www.myntra.com/tshirts/roadster/roadster-women-rust-brown-solid-round-neck-pure-cotton-t-shirt/10778646/buy" TargetMode="External"/><Relationship Id="rId308" Type="http://schemas.openxmlformats.org/officeDocument/2006/relationships/hyperlink" Target="https://www.myntra.com/dresses/athena/athena-mauve-self-design-sheath-dress/13709578/buy" TargetMode="External"/><Relationship Id="rId515" Type="http://schemas.openxmlformats.org/officeDocument/2006/relationships/hyperlink" Target="https://www.myntra.com/tops/her-by-invictus/her-by-invictus-white-semi-sheer-top/6939221/buy" TargetMode="External"/><Relationship Id="rId722" Type="http://schemas.openxmlformats.org/officeDocument/2006/relationships/hyperlink" Target="https://www.myntra.com/tops/dressberry/dressberry-women-stylish-black-solid-cut-out-basic-top/2522867/buy" TargetMode="External"/><Relationship Id="rId89" Type="http://schemas.openxmlformats.org/officeDocument/2006/relationships/hyperlink" Target="https://www.myntra.com/kurta-sets/anubhutee/anubhutee-women-red--off-white-bandhani-print-kurta-with-palazzos/13021502/buy" TargetMode="External"/><Relationship Id="rId154" Type="http://schemas.openxmlformats.org/officeDocument/2006/relationships/hyperlink" Target="https://www.myntra.com/tshirts/wrogn/wrogn-men-burgundy-solid-slim-fit-round-neck-pure-cotton-t-shirt/10188591/buy" TargetMode="External"/><Relationship Id="rId361" Type="http://schemas.openxmlformats.org/officeDocument/2006/relationships/hyperlink" Target="https://www.myntra.com/tshirts/roadster/roadster-men-white-solid-polo-collar-t-shirt/2303707/buy" TargetMode="External"/><Relationship Id="rId599" Type="http://schemas.openxmlformats.org/officeDocument/2006/relationships/hyperlink" Target="https://www.myntra.com/shirts/highlander/highlander-men-rust-slim-fit-solid-casual-shirt/4286779/buy" TargetMode="External"/><Relationship Id="rId459" Type="http://schemas.openxmlformats.org/officeDocument/2006/relationships/hyperlink" Target="https://www.myntra.com/tshirts/roadster/roadster-women-lavender--navy-printed-round-neck-t-shirt/12193758/buy" TargetMode="External"/><Relationship Id="rId666" Type="http://schemas.openxmlformats.org/officeDocument/2006/relationships/hyperlink" Target="https://www.myntra.com/bra/abelino/abelino-pack-of-3-solid-non-wired-lightly-padded-t-shirt-bra-comyashiblkredgreen/12382656/buy" TargetMode="External"/><Relationship Id="rId873" Type="http://schemas.openxmlformats.org/officeDocument/2006/relationships/hyperlink" Target="https://www.myntra.com/sarees/shaily/shaily-cream-coloured--blue-pure-silk-woven-design-banarasi-saree/10037083/buy" TargetMode="External"/><Relationship Id="rId16" Type="http://schemas.openxmlformats.org/officeDocument/2006/relationships/hyperlink" Target="https://www.myntra.com/shirts/highlander/highlander-men-blue--black-slim-fit-printed-casual-shirt/13842386/buy" TargetMode="External"/><Relationship Id="rId221" Type="http://schemas.openxmlformats.org/officeDocument/2006/relationships/hyperlink" Target="https://www.myntra.com/tops/la-zoire/la-zoire-rose-shirt-style-top/7269182/buy" TargetMode="External"/><Relationship Id="rId319" Type="http://schemas.openxmlformats.org/officeDocument/2006/relationships/hyperlink" Target="https://www.myntra.com/track-pants/hrx-by-hrithik-roshan/hrx-by-hrithik-roshan-black-joggers/1866650/buy" TargetMode="External"/><Relationship Id="rId526" Type="http://schemas.openxmlformats.org/officeDocument/2006/relationships/hyperlink" Target="https://www.myntra.com/kurtas/vishudh/vishudh-women-turquoise-blue-printed-straight-kurta/10649248/buy" TargetMode="External"/><Relationship Id="rId733" Type="http://schemas.openxmlformats.org/officeDocument/2006/relationships/hyperlink" Target="https://www.myntra.com/tops/sassafras/sassafras-women-blue--pink-floral-printed-crop-regular-top/11364332/buy" TargetMode="External"/><Relationship Id="rId940" Type="http://schemas.openxmlformats.org/officeDocument/2006/relationships/hyperlink" Target="https://www.myntra.com/tshirts/ether/ether-men-teal-green-chest-print-round-neck-pure-cotton-t-shirt/11900354/buy" TargetMode="External"/><Relationship Id="rId165" Type="http://schemas.openxmlformats.org/officeDocument/2006/relationships/hyperlink" Target="https://www.myntra.com/kurta-sets/anubhutee/anubhutee-women-green--beige-embroidered-kurta-with-palazzos/11531248/buy" TargetMode="External"/><Relationship Id="rId372" Type="http://schemas.openxmlformats.org/officeDocument/2006/relationships/hyperlink" Target="https://www.myntra.com/jeans/tokyo-talkies/tokyo-talkies-women-navy-blue-slim-fit-high-rise-clean-look-stretchable-jeans/12876318/buy" TargetMode="External"/><Relationship Id="rId677" Type="http://schemas.openxmlformats.org/officeDocument/2006/relationships/hyperlink" Target="https://www.myntra.com/tops/rigo/rigo-women-black-solid-top/6911333/buy" TargetMode="External"/><Relationship Id="rId800" Type="http://schemas.openxmlformats.org/officeDocument/2006/relationships/hyperlink" Target="https://www.myntra.com/sweaters/roadster/the-roadster-lifestyle-co-men-off-white-checked-knitted-patterned-pullover/15654416/buy" TargetMode="External"/><Relationship Id="rId232" Type="http://schemas.openxmlformats.org/officeDocument/2006/relationships/hyperlink" Target="https://www.myntra.com/tshirts/highlander/highlander-men-charcoal-grey-slim-fit-solid-henley-neck-t-shirt/1923230/buy" TargetMode="External"/><Relationship Id="rId884" Type="http://schemas.openxmlformats.org/officeDocument/2006/relationships/hyperlink" Target="https://www.myntra.com/trunk/us-polo-assn/us-polo-assn-men-assorted-trunk-10353589/10353589/buy" TargetMode="External"/><Relationship Id="rId27" Type="http://schemas.openxmlformats.org/officeDocument/2006/relationships/hyperlink" Target="https://www.myntra.com/trousers/zastraa/zastraa-women-maroon-slim-fit-peg-trousers/9476129/buy" TargetMode="External"/><Relationship Id="rId537" Type="http://schemas.openxmlformats.org/officeDocument/2006/relationships/hyperlink" Target="https://www.myntra.com/kurta-sets/vishudh/vishudh-women-maroon-ethnic-motifs-printed-regular-pure-cotton-kurta-with-trousers/10089243/buy" TargetMode="External"/><Relationship Id="rId744" Type="http://schemas.openxmlformats.org/officeDocument/2006/relationships/hyperlink" Target="https://www.myntra.com/tops/mast--harbour/mast--harbour-women-black-solid-top/2490953/buy" TargetMode="External"/><Relationship Id="rId951" Type="http://schemas.openxmlformats.org/officeDocument/2006/relationships/hyperlink" Target="https://www.myntra.com/track-pants/hrx-by-hrithik-roshan/hrx-by-hrithik-roshan-white-cotton-athleisure-track-pants/6791073/buy" TargetMode="External"/><Relationship Id="rId80" Type="http://schemas.openxmlformats.org/officeDocument/2006/relationships/hyperlink" Target="https://www.myntra.com/kurtas/varanga/varanga-women-mustard-yellow-solid-straight-kurta-with-thread-work/12412864/buy" TargetMode="External"/><Relationship Id="rId176" Type="http://schemas.openxmlformats.org/officeDocument/2006/relationships/hyperlink" Target="https://www.myntra.com/skirts/kassually/kassually-black-front-bow-pencil-skirt/12670196/buy" TargetMode="External"/><Relationship Id="rId383" Type="http://schemas.openxmlformats.org/officeDocument/2006/relationships/hyperlink" Target="https://www.myntra.com/shorts/hrx-by-hrithik-roshan/hrx-by-hrithik-roshan-men-navy-solid-rapid-dry-running-shorts/12212310/buy" TargetMode="External"/><Relationship Id="rId590" Type="http://schemas.openxmlformats.org/officeDocument/2006/relationships/hyperlink" Target="https://www.myntra.com/sweatshirts/roadster/roadster-women-lavender-solid-sweatshirt/11991406/buy" TargetMode="External"/><Relationship Id="rId604" Type="http://schemas.openxmlformats.org/officeDocument/2006/relationships/hyperlink" Target="https://www.myntra.com/tshirts/roadster/roadster-women-maroon-pack-of-2-typography-print-round-neck-regular-fit-t-shirts/17383238/buy" TargetMode="External"/><Relationship Id="rId811" Type="http://schemas.openxmlformats.org/officeDocument/2006/relationships/hyperlink" Target="https://www.myntra.com/leggings/go-colors/go-colors-women-gold-toned-solid-skinny-fit-shimmer-ankle-length-leggings/4891838/buy" TargetMode="External"/><Relationship Id="rId243" Type="http://schemas.openxmlformats.org/officeDocument/2006/relationships/hyperlink" Target="https://www.myntra.com/tops/scorpius/scorpius-women-pack-of-2-crop-tops/9340227/buy" TargetMode="External"/><Relationship Id="rId450" Type="http://schemas.openxmlformats.org/officeDocument/2006/relationships/hyperlink" Target="https://www.myntra.com/tops/bhama-couture/bhama-couture-blue--white-striped-a-line-pure-cotton-top/9717187/buy" TargetMode="External"/><Relationship Id="rId688" Type="http://schemas.openxmlformats.org/officeDocument/2006/relationships/hyperlink" Target="https://www.myntra.com/tshirts/louis-philippe-sport/louis-philippe-sport-men-white-solid-polo-collar-t-shirt/14304560/buy" TargetMode="External"/><Relationship Id="rId895" Type="http://schemas.openxmlformats.org/officeDocument/2006/relationships/hyperlink" Target="https://www.myntra.com/trousers/roadster/roadster-men-navy-slim-fit-pure-cotton-joggers/2291339/buy" TargetMode="External"/><Relationship Id="rId909" Type="http://schemas.openxmlformats.org/officeDocument/2006/relationships/hyperlink" Target="https://www.myntra.com/tshirts/roadster/roadster-men-burgundy-all-over-print-round-neck-t-shirt/8938961/buy" TargetMode="External"/><Relationship Id="rId38" Type="http://schemas.openxmlformats.org/officeDocument/2006/relationships/hyperlink" Target="https://www.myntra.com/jeans/wrogn/wrogn-men-blue-skinny-fit-mid-rise-clean-look-stretchable-jeans/2477061/buy" TargetMode="External"/><Relationship Id="rId103" Type="http://schemas.openxmlformats.org/officeDocument/2006/relationships/hyperlink" Target="https://www.myntra.com/shirts/roadster/roadster-men-grey-printed-regular-fit-casual-sustainable-shirt/10740976/buy" TargetMode="External"/><Relationship Id="rId310" Type="http://schemas.openxmlformats.org/officeDocument/2006/relationships/hyperlink" Target="https://www.myntra.com/trousers/highlander/highlander-men-brown-slim-fit-solid-chinos/5125962/buy" TargetMode="External"/><Relationship Id="rId548" Type="http://schemas.openxmlformats.org/officeDocument/2006/relationships/hyperlink" Target="https://www.myntra.com/tshirts/mast--harbour/mast--harbour-women-white-printed-round-neck-t-shirt/8325383/buy" TargetMode="External"/><Relationship Id="rId755" Type="http://schemas.openxmlformats.org/officeDocument/2006/relationships/hyperlink" Target="https://www.myntra.com/shirts/roadster/roadster-men-navy-blue-checked-pure-cotton-sustainable-casual-shirt/11327214/buy" TargetMode="External"/><Relationship Id="rId962" Type="http://schemas.openxmlformats.org/officeDocument/2006/relationships/hyperlink" Target="https://www.myntra.com/tshirts/roadster/roadster-women-pack-of-2-printed-cotton-t-shirt/17385582/buy" TargetMode="External"/><Relationship Id="rId91" Type="http://schemas.openxmlformats.org/officeDocument/2006/relationships/hyperlink" Target="https://www.myntra.com/sweatshirts/roadster/the-roadster-lifestyle-co-women-orange-solid-hooded-sweatshirt/9901951/buy" TargetMode="External"/><Relationship Id="rId187" Type="http://schemas.openxmlformats.org/officeDocument/2006/relationships/hyperlink" Target="https://www.myntra.com/trousers/sassafras/sassafras-women-charcoal-grey-chambray-pure-cotton-joggers-with-contrast-belt/12222138/buy" TargetMode="External"/><Relationship Id="rId394" Type="http://schemas.openxmlformats.org/officeDocument/2006/relationships/hyperlink" Target="https://www.myntra.com/kurta-sets/indo-era/indo-era-women-navy-blue-yoke-design-kurta-with-trousers--dupatta/13250072/buy" TargetMode="External"/><Relationship Id="rId408" Type="http://schemas.openxmlformats.org/officeDocument/2006/relationships/hyperlink" Target="https://www.myntra.com/kurtas/herenow/herenow-women-blue--white-printed-straight-kurta/13007406/buy" TargetMode="External"/><Relationship Id="rId615" Type="http://schemas.openxmlformats.org/officeDocument/2006/relationships/hyperlink" Target="https://www.myntra.com/kurtas/anouk/anouk-women-black--maroon-ethnic-motifs-pure-cotton-printed-kurta/13905664/buy" TargetMode="External"/><Relationship Id="rId822" Type="http://schemas.openxmlformats.org/officeDocument/2006/relationships/hyperlink" Target="https://www.myntra.com/jeans/moda-rapido/moda-rapido-off-white-slim-fit-mid-rise-slash-knee-jeans/1959220/buy" TargetMode="External"/><Relationship Id="rId254" Type="http://schemas.openxmlformats.org/officeDocument/2006/relationships/hyperlink" Target="https://www.myntra.com/jeans/dolce-crudo/dolce-crudo-women-navy-blue-skinny-fit-high-rise-clean-look-stretchable-cropped-jeans/10696608/buy" TargetMode="External"/><Relationship Id="rId699" Type="http://schemas.openxmlformats.org/officeDocument/2006/relationships/hyperlink" Target="https://www.myntra.com/dresses/kassually/kassually-women-mustard-yellow-solid-a-line-dress/11348390/buy" TargetMode="External"/><Relationship Id="rId49" Type="http://schemas.openxmlformats.org/officeDocument/2006/relationships/hyperlink" Target="https://www.myntra.com/tshirts/moda-rapido/moda-rapido-men-olive-green--yellow-striped-cotton-pure-cotton-t-shirt/11269190/buy" TargetMode="External"/><Relationship Id="rId114" Type="http://schemas.openxmlformats.org/officeDocument/2006/relationships/hyperlink" Target="https://www.myntra.com/tshirts/mast--harbour/mast--harbour-men-navy-blue--mustard-yellow-printed-round-neck-t-shirt/12116006/buy" TargetMode="External"/><Relationship Id="rId461" Type="http://schemas.openxmlformats.org/officeDocument/2006/relationships/hyperlink" Target="https://www.myntra.com/kurtas/sangria/sangria-women-blue-geometric-printed-straight-kurta/8349181/buy" TargetMode="External"/><Relationship Id="rId559" Type="http://schemas.openxmlformats.org/officeDocument/2006/relationships/hyperlink" Target="https://www.myntra.com/tops/street-9/street-9-women-green-solid-satin-finish-bardot-top/8160645/buy" TargetMode="External"/><Relationship Id="rId766" Type="http://schemas.openxmlformats.org/officeDocument/2006/relationships/hyperlink" Target="https://www.myntra.com/tshirts/roadster/roadster-women-pack-of-2-solid-t-shirts/17381412/buy" TargetMode="External"/><Relationship Id="rId198" Type="http://schemas.openxmlformats.org/officeDocument/2006/relationships/hyperlink" Target="https://www.myntra.com/night-suits/i-like-me/i-like-me-women-pink--white-printed-night-suit/13152598/buy" TargetMode="External"/><Relationship Id="rId321" Type="http://schemas.openxmlformats.org/officeDocument/2006/relationships/hyperlink" Target="https://www.myntra.com/shirts/highlander/highlander-men-beige--white-slim-fit-striped-casual-shirt/11044440/buy" TargetMode="External"/><Relationship Id="rId419" Type="http://schemas.openxmlformats.org/officeDocument/2006/relationships/hyperlink" Target="https://www.myntra.com/track-pants/hubberholme/hubberholme-white-slim-fit-track-pants/1757662/buy" TargetMode="External"/><Relationship Id="rId626" Type="http://schemas.openxmlformats.org/officeDocument/2006/relationships/hyperlink" Target="https://www.myntra.com/skirts/rigo/rigo-black-flared-mini-skirt/7078933/buy" TargetMode="External"/><Relationship Id="rId973" Type="http://schemas.openxmlformats.org/officeDocument/2006/relationships/hyperlink" Target="https://www.myntra.com/tshirts/roadster/roadster-women-mauve--maroon-pack-of-2-typography-print-pure-cotton-t-shirts/17382864/buy" TargetMode="External"/><Relationship Id="rId833" Type="http://schemas.openxmlformats.org/officeDocument/2006/relationships/hyperlink" Target="https://www.myntra.com/dresses/dressberry/dressberry-women-pink-floral-printed-a-line-dress/10526804/buy" TargetMode="External"/><Relationship Id="rId265" Type="http://schemas.openxmlformats.org/officeDocument/2006/relationships/hyperlink" Target="https://www.myntra.com/dresses/herenow/herenow-navy-blue-floral-printed-tiered-maxi-dress/8002531/buy" TargetMode="External"/><Relationship Id="rId472" Type="http://schemas.openxmlformats.org/officeDocument/2006/relationships/hyperlink" Target="https://www.myntra.com/dresses/tokyo-talkies/tokyo-talkies-women-grey-printed-fit-and-flare-dress/4924933/buy" TargetMode="External"/><Relationship Id="rId900" Type="http://schemas.openxmlformats.org/officeDocument/2006/relationships/hyperlink" Target="https://www.myntra.com/sarees/saree-mall/saree-mall-green-solid-saree/11083546/buy" TargetMode="External"/><Relationship Id="rId125" Type="http://schemas.openxmlformats.org/officeDocument/2006/relationships/hyperlink" Target="https://www.myntra.com/kurtas/anubhutee/anubhutee-women-pink--orange-screen-print-a-line-kurta/11535126/buy" TargetMode="External"/><Relationship Id="rId332" Type="http://schemas.openxmlformats.org/officeDocument/2006/relationships/hyperlink" Target="https://www.myntra.com/socks/mast--harbour/mast--harbour-men-pack-of-3-above-ankle-length-socks/10986390/buy" TargetMode="External"/><Relationship Id="rId777" Type="http://schemas.openxmlformats.org/officeDocument/2006/relationships/hyperlink" Target="https://www.myntra.com/sarees/mitera/mitera-maroon--gold-toned-silk-blend-woven-design-kanjeevaram-saree/10361183/buy" TargetMode="External"/><Relationship Id="rId984" Type="http://schemas.openxmlformats.org/officeDocument/2006/relationships/hyperlink" Target="https://www.myntra.com/sweatshirts/campus-sutra/campus-sutra-men-maroon-solid-hooded-sweatshirt/10381423/buy" TargetMode="External"/><Relationship Id="rId637" Type="http://schemas.openxmlformats.org/officeDocument/2006/relationships/hyperlink" Target="https://www.myntra.com/dresses/her-by-invictus/her-by-invictus-beige--black-colourblocked-sheath-dress/8207829/buy" TargetMode="External"/><Relationship Id="rId844" Type="http://schemas.openxmlformats.org/officeDocument/2006/relationships/hyperlink" Target="https://www.myntra.com/kurtas/herenow/herenow-embroidered-wine-viscose-kurta/7270152/buy" TargetMode="External"/><Relationship Id="rId276" Type="http://schemas.openxmlformats.org/officeDocument/2006/relationships/hyperlink" Target="https://www.myntra.com/briefs/dollar-missy/dollar-missy-women-pack-of-6-briefs-101p-multi-po6/2190876/buy" TargetMode="External"/><Relationship Id="rId483" Type="http://schemas.openxmlformats.org/officeDocument/2006/relationships/hyperlink" Target="https://www.myntra.com/bra/floret/floret-pack-of-3-full-coverage-bras/851425/buy" TargetMode="External"/><Relationship Id="rId690" Type="http://schemas.openxmlformats.org/officeDocument/2006/relationships/hyperlink" Target="https://www.myntra.com/sweatshirts/campus-sutra/campus-sutra-men-green-solid-hooded-sweatshirt/12748752/buy" TargetMode="External"/><Relationship Id="rId704" Type="http://schemas.openxmlformats.org/officeDocument/2006/relationships/hyperlink" Target="https://www.myntra.com/tshirts/roadster/-roadster-women-pack-of-2-cotton-t-shirts/17382822/buy" TargetMode="External"/><Relationship Id="rId911" Type="http://schemas.openxmlformats.org/officeDocument/2006/relationships/hyperlink" Target="https://www.myntra.com/kurtas/herenow/herenow-women-white--yellow-striped-straight-kurta/12524820/buy" TargetMode="External"/><Relationship Id="rId40" Type="http://schemas.openxmlformats.org/officeDocument/2006/relationships/hyperlink" Target="https://www.myntra.com/track-pants/hrx-by-hrithik-roshan/hrx-by-hrithik-roshan-men-olive-green-camo-athleisure-track-pants/6791064/buy" TargetMode="External"/><Relationship Id="rId136" Type="http://schemas.openxmlformats.org/officeDocument/2006/relationships/hyperlink" Target="https://www.myntra.com/tshirts/campus-sutra/campus-sutra-men-charcoal-grey-striped-mandarin-collar-t-shirt/10891012/buy" TargetMode="External"/><Relationship Id="rId343" Type="http://schemas.openxmlformats.org/officeDocument/2006/relationships/hyperlink" Target="https://www.myntra.com/jeans/roadster/roadster-men-blue-super-skinny-fit-mid-rise-mildly-distressed-stretchable-jeans/10064565/buy" TargetMode="External"/><Relationship Id="rId550" Type="http://schemas.openxmlformats.org/officeDocument/2006/relationships/hyperlink" Target="https://www.myntra.com/lounge-pants/xyxx/xyxx-men-super-combed-cotton-pack-of-2-checkmate-lounge-pants-xypyjm2pckn05/10852574/buy" TargetMode="External"/><Relationship Id="rId788" Type="http://schemas.openxmlformats.org/officeDocument/2006/relationships/hyperlink" Target="https://www.myntra.com/kurtas/vishudh/vishudh-women-red--black-printed-a-line-kurta/1959689/buy" TargetMode="External"/><Relationship Id="rId995" Type="http://schemas.openxmlformats.org/officeDocument/2006/relationships/hyperlink" Target="https://www.myntra.com/jeans/tokyo-talkies/tokyo-talkies-women-white-flared-mid-rise-clean-look-jeans/13641440/buy" TargetMode="External"/><Relationship Id="rId203" Type="http://schemas.openxmlformats.org/officeDocument/2006/relationships/hyperlink" Target="https://www.myntra.com/jeans/roadster/the-roadster-lifestyle-co-men-navy-blue-super-skinny-fit-mid-rise-mildly-distressed-stretchable-jeans/10064539/buy" TargetMode="External"/><Relationship Id="rId648" Type="http://schemas.openxmlformats.org/officeDocument/2006/relationships/hyperlink" Target="https://www.myntra.com/jackets/wrogn/wrogn-men-olive-green-solid-slim-fit-biker-jacket/10187221/buy" TargetMode="External"/><Relationship Id="rId855" Type="http://schemas.openxmlformats.org/officeDocument/2006/relationships/hyperlink" Target="https://www.myntra.com/tshirts/roadster/roadster-men-navy-blue--yellow-striped-polo-collar-pure-cotton-t-shirt/9345341/buy" TargetMode="External"/><Relationship Id="rId287" Type="http://schemas.openxmlformats.org/officeDocument/2006/relationships/hyperlink" Target="https://www.myntra.com/tshirts/roadster/the-roadster-lifestyle-co-women-pink-solid-round-neck-pure-cotton-t-shirt/9740129/buy" TargetMode="External"/><Relationship Id="rId410" Type="http://schemas.openxmlformats.org/officeDocument/2006/relationships/hyperlink" Target="https://www.myntra.com/tshirts/roadster/roadster-women-pack-of-2-pure-cotton-t-shirts/17381626/buy" TargetMode="External"/><Relationship Id="rId494" Type="http://schemas.openxmlformats.org/officeDocument/2006/relationships/hyperlink" Target="https://www.myntra.com/tshirts/sassafras/sassafras-women-fluorescent-green-blessed-print-round-neck-t-shirt/12737822/buy" TargetMode="External"/><Relationship Id="rId508" Type="http://schemas.openxmlformats.org/officeDocument/2006/relationships/hyperlink" Target="https://www.myntra.com/jeans/kotty/kotty-women-black-boyfriend-fit-high-rise-clean-look-jeans/12161178/buy" TargetMode="External"/><Relationship Id="rId715" Type="http://schemas.openxmlformats.org/officeDocument/2006/relationships/hyperlink" Target="https://www.myntra.com/tops/herenow/herenow-women-white--navy-lightweight-striped-shirt-style-pure-cotton-top/2077135/buy" TargetMode="External"/><Relationship Id="rId922" Type="http://schemas.openxmlformats.org/officeDocument/2006/relationships/hyperlink" Target="https://www.myntra.com/leggings/tag-7/tag-7-women-black-solid-ankle-length-leggings/10480828/buy" TargetMode="External"/><Relationship Id="rId147" Type="http://schemas.openxmlformats.org/officeDocument/2006/relationships/hyperlink" Target="https://www.myntra.com/tshirts/roadster/roadster-women-pack-of-2-solid-t-shirts/17381456/buy" TargetMode="External"/><Relationship Id="rId354" Type="http://schemas.openxmlformats.org/officeDocument/2006/relationships/hyperlink" Target="https://www.myntra.com/sarees/inddus/inddus-mustard-yellow--gold-toned-net-embroidered-saree/12631330/buy" TargetMode="External"/><Relationship Id="rId799" Type="http://schemas.openxmlformats.org/officeDocument/2006/relationships/hyperlink" Target="https://www.myntra.com/tshirts/mast--harbour/mast--harbour-men-navy-blue-red--grey-colourblocked-polo-collar-t-shirt/8325363/buy" TargetMode="External"/><Relationship Id="rId51" Type="http://schemas.openxmlformats.org/officeDocument/2006/relationships/hyperlink" Target="https://www.myntra.com/tops/harpa/harpa-women-pink-printed-wrap-top/8986005/buy" TargetMode="External"/><Relationship Id="rId561" Type="http://schemas.openxmlformats.org/officeDocument/2006/relationships/hyperlink" Target="https://www.myntra.com/kurta-sets/vishudh/vishudh-women-red--solid-kurta-with-trousers/7572940/buy" TargetMode="External"/><Relationship Id="rId659" Type="http://schemas.openxmlformats.org/officeDocument/2006/relationships/hyperlink" Target="https://www.myntra.com/tops/scorpius/scorpius-women-pack-of-2-crop-tops/9341399/buy" TargetMode="External"/><Relationship Id="rId866" Type="http://schemas.openxmlformats.org/officeDocument/2006/relationships/hyperlink" Target="https://www.myntra.com/bra/fashionrack/fashionrack-beige-solid-non-wired-lightly-padded-stick-on-push-up-bra/9382253/buy" TargetMode="External"/><Relationship Id="rId214" Type="http://schemas.openxmlformats.org/officeDocument/2006/relationships/hyperlink" Target="https://www.myntra.com/shirts/dennis-lingo/dennis-lingo-men-white-slim-fit-casual-shirt/14094532/buy" TargetMode="External"/><Relationship Id="rId298" Type="http://schemas.openxmlformats.org/officeDocument/2006/relationships/hyperlink" Target="https://www.myntra.com/jeans/dolce-crudo/dolce-crudo-women-black-skinny-fit-high-rise-clean-look-stretchable-cropped-jeans/10728896/buy" TargetMode="External"/><Relationship Id="rId421" Type="http://schemas.openxmlformats.org/officeDocument/2006/relationships/hyperlink" Target="https://www.myntra.com/tops/roadster/roadster-women-white--black-solid-a-line-pure-cotton-top/11373682/buy" TargetMode="External"/><Relationship Id="rId519" Type="http://schemas.openxmlformats.org/officeDocument/2006/relationships/hyperlink" Target="https://www.myntra.com/tshirts/herenow/herenow-men-grey--white-dyed-round-neck-pure-cotton-t-shirt/9376103/buy" TargetMode="External"/><Relationship Id="rId158" Type="http://schemas.openxmlformats.org/officeDocument/2006/relationships/hyperlink" Target="https://www.myntra.com/bath-robe/elevanto/elevanto-women-navy-blue-solid-bath-robe/11938894/buy" TargetMode="External"/><Relationship Id="rId726" Type="http://schemas.openxmlformats.org/officeDocument/2006/relationships/hyperlink" Target="https://www.myntra.com/tops/her-by-invictus/her-by-invictus-olive-green-smart-casual-top/9240703/buy" TargetMode="External"/><Relationship Id="rId933" Type="http://schemas.openxmlformats.org/officeDocument/2006/relationships/hyperlink" Target="https://www.myntra.com/sweatshirts/tokyo-talkies/tokyo-talkies-women-mustard-orange-solid-hooded-sweatshirt/10742386/buy" TargetMode="External"/><Relationship Id="rId62" Type="http://schemas.openxmlformats.org/officeDocument/2006/relationships/hyperlink" Target="https://www.myntra.com/bra/enamor/enamor-white-non-wired-non-padded-full-coverage-everyday-bra-ab75-/130968/buy" TargetMode="External"/><Relationship Id="rId365" Type="http://schemas.openxmlformats.org/officeDocument/2006/relationships/hyperlink" Target="https://www.myntra.com/kurta-sets/janasya/janasya-women-navy-blue--peach-coloured-solid-kurti-with-trousers--dupatta/8974413/buy" TargetMode="External"/><Relationship Id="rId572" Type="http://schemas.openxmlformats.org/officeDocument/2006/relationships/hyperlink" Target="https://www.myntra.com/shirts/highlander/highlander-men-maroon--navy-blue-slim-fit-checked-casual-shirt/8988447/buy" TargetMode="External"/><Relationship Id="rId225" Type="http://schemas.openxmlformats.org/officeDocument/2006/relationships/hyperlink" Target="https://www.myntra.com/trousers/wrogn/wrogn-men-olive-green-joggers/2339796/buy" TargetMode="External"/><Relationship Id="rId432" Type="http://schemas.openxmlformats.org/officeDocument/2006/relationships/hyperlink" Target="https://www.myntra.com/kurta-sets/varanga/varanga-women-pink--silver-toned-yoke-design-kurta-with-palazzos--dupatta/14046728/buy" TargetMode="External"/><Relationship Id="rId877" Type="http://schemas.openxmlformats.org/officeDocument/2006/relationships/hyperlink" Target="https://www.myntra.com/shirts/her-by-invictus/her-by-invictus-women-olive-green-regular-fit-solid-formal-shirt/6939244/buy" TargetMode="External"/><Relationship Id="rId737" Type="http://schemas.openxmlformats.org/officeDocument/2006/relationships/hyperlink" Target="https://www.myntra.com/tshirts/roadster/roadster-women-black--white-printed-round-neck-t-shirt/11401800/buy" TargetMode="External"/><Relationship Id="rId944" Type="http://schemas.openxmlformats.org/officeDocument/2006/relationships/hyperlink" Target="https://www.myntra.com/jeans/roadster/roadster-men-blue-skinny-fit-mid-rise-clean-look-stretchable-jeans/8962463/buy" TargetMode="External"/><Relationship Id="rId73" Type="http://schemas.openxmlformats.org/officeDocument/2006/relationships/hyperlink" Target="https://www.myntra.com/tshirts/roadster/roadster-women-set-of-2-printed-t-shirts/17381750/buy" TargetMode="External"/><Relationship Id="rId169" Type="http://schemas.openxmlformats.org/officeDocument/2006/relationships/hyperlink" Target="https://www.myntra.com/tops/harpa/harpa-pink-printed-peplum-top/13532760/buy" TargetMode="External"/><Relationship Id="rId376" Type="http://schemas.openxmlformats.org/officeDocument/2006/relationships/hyperlink" Target="https://www.myntra.com/lounge-pants/xyxx/xyxx-men-super-combed-cotton-checkmate-lounge-pants-xypyjm10/10852560/buy" TargetMode="External"/><Relationship Id="rId583" Type="http://schemas.openxmlformats.org/officeDocument/2006/relationships/hyperlink" Target="https://www.myntra.com/tops/scorpius/scorpius-women-black-solid-crop-top/11966466/buy" TargetMode="External"/><Relationship Id="rId790" Type="http://schemas.openxmlformats.org/officeDocument/2006/relationships/hyperlink" Target="https://www.myntra.com/kurta-sets/prakhya/prakhya-women-blue-panelled-kurta-with-sharara--with-dupatta/14514378/buy" TargetMode="External"/><Relationship Id="rId804" Type="http://schemas.openxmlformats.org/officeDocument/2006/relationships/hyperlink" Target="https://www.myntra.com/kurta-sets/anubhutee/anubhutee-women-black--off-white-printed-kurta-with-palazzos/10941758/buy" TargetMode="External"/><Relationship Id="rId4" Type="http://schemas.openxmlformats.org/officeDocument/2006/relationships/hyperlink" Target="https://www.myntra.com/shapewear/zivame/zivame-women-black-saree-shapewear-zi3023core0nude/4335679/buy" TargetMode="External"/><Relationship Id="rId236" Type="http://schemas.openxmlformats.org/officeDocument/2006/relationships/hyperlink" Target="https://www.myntra.com/jeans/roadster/roadster-men-white-skinny-fit-mid-rise-clean-look-stretchable-jeans/2315624/buy" TargetMode="External"/><Relationship Id="rId443" Type="http://schemas.openxmlformats.org/officeDocument/2006/relationships/hyperlink" Target="https://www.myntra.com/bra/rosaline-by-zivame/rosaline-by-zivame-blue-solid-non-wired-non-padded-t-shirt-bra-zi1885coreablue0/11416434/buy" TargetMode="External"/><Relationship Id="rId650" Type="http://schemas.openxmlformats.org/officeDocument/2006/relationships/hyperlink" Target="https://www.myntra.com/sarees/kalini/kalini-maroon--gold-ethnic-motifs-zari-silk-blend-banarasi-saree/16697006/buy" TargetMode="External"/><Relationship Id="rId888" Type="http://schemas.openxmlformats.org/officeDocument/2006/relationships/hyperlink" Target="https://www.myntra.com/tshirts/kook-n-keech-marvel/kook-n-keech-marvel-women-white--red-printed-round-neck-pure-cotton-t-shirt/8972461/buy" TargetMode="External"/><Relationship Id="rId303" Type="http://schemas.openxmlformats.org/officeDocument/2006/relationships/hyperlink" Target="https://www.myntra.com/track-pants/highlander/highlander-men-black-solid-slim-fit-track-pants/14014788/buy" TargetMode="External"/><Relationship Id="rId748" Type="http://schemas.openxmlformats.org/officeDocument/2006/relationships/hyperlink" Target="https://www.myntra.com/track-pants/tokyo-talkies/tokyo-talkies-women-maroon-solid-slim-fit-port-royale-casual-track-pants/14154078/buy" TargetMode="External"/><Relationship Id="rId955" Type="http://schemas.openxmlformats.org/officeDocument/2006/relationships/hyperlink" Target="https://www.myntra.com/track-pants/hubberholme/hubberholme-men-black-slim-fit-solid-cargo-joggers/13961906/buy" TargetMode="External"/><Relationship Id="rId84" Type="http://schemas.openxmlformats.org/officeDocument/2006/relationships/hyperlink" Target="https://www.myntra.com/jackets/sassafras/sassafras-women-lavender-solid-cropped-jacket/12222046/buy" TargetMode="External"/><Relationship Id="rId387" Type="http://schemas.openxmlformats.org/officeDocument/2006/relationships/hyperlink" Target="https://www.myntra.com/tops/her-by-invictus/her-by-invictus-navy-blue--white-floral-pleated-top/11735666/buy" TargetMode="External"/><Relationship Id="rId510" Type="http://schemas.openxmlformats.org/officeDocument/2006/relationships/hyperlink" Target="https://www.myntra.com/trousers/roadster/roadster-men-olive-green-slim-fit-printed-joggers/2145329/buy" TargetMode="External"/><Relationship Id="rId594" Type="http://schemas.openxmlformats.org/officeDocument/2006/relationships/hyperlink" Target="https://www.myntra.com/shorts/highlander/highlander-men-black-solid-slim-fit-sports-shorts/13842332/buy" TargetMode="External"/><Relationship Id="rId608" Type="http://schemas.openxmlformats.org/officeDocument/2006/relationships/hyperlink" Target="https://www.myntra.com/sarees/mitera/mitera-beige--teal-blue-silk-saree/10968928/buy" TargetMode="External"/><Relationship Id="rId815" Type="http://schemas.openxmlformats.org/officeDocument/2006/relationships/hyperlink" Target="https://www.myntra.com/sweatshirts/roadster/roadster-women-mustard-brown-fleece-solid-hooded-sweatshirt/11991426/buy" TargetMode="External"/><Relationship Id="rId247" Type="http://schemas.openxmlformats.org/officeDocument/2006/relationships/hyperlink" Target="https://www.myntra.com/briefs/clovia/clovia-women-black-self-design-lace-boyshorts-pn2656p13/6825084/buy" TargetMode="External"/><Relationship Id="rId899" Type="http://schemas.openxmlformats.org/officeDocument/2006/relationships/hyperlink" Target="https://www.myntra.com/kurtas/anouk/anouk-women-teal-blue--white-striped-kurta/13789746/buy" TargetMode="External"/><Relationship Id="rId1000" Type="http://schemas.openxmlformats.org/officeDocument/2006/relationships/hyperlink" Target="https://www.myntra.com/skirts/moda-rapido/moda-rapido-navy-blue--white-printed-pure-cotton-maxi-flared-skirt/10216989/buy" TargetMode="External"/><Relationship Id="rId107" Type="http://schemas.openxmlformats.org/officeDocument/2006/relationships/hyperlink" Target="https://www.myntra.com/tshirts/herenow/herenow-women-white--pink-striped-v-neck-pure-cotton-t-shirt/10297291/buy" TargetMode="External"/><Relationship Id="rId454" Type="http://schemas.openxmlformats.org/officeDocument/2006/relationships/hyperlink" Target="https://www.myntra.com/dresses/sassafras/sassafras-pink--orange-floral-printed-tiered-a-line-dress-with-puff-sleeves/13581108/buy" TargetMode="External"/><Relationship Id="rId661" Type="http://schemas.openxmlformats.org/officeDocument/2006/relationships/hyperlink" Target="https://www.myntra.com/shirts/ether/ether-men-navy-blue-anti-microbial-poplin-cotton-shirt/11746280/buy" TargetMode="External"/><Relationship Id="rId759" Type="http://schemas.openxmlformats.org/officeDocument/2006/relationships/hyperlink" Target="https://www.myntra.com/shrug/sera/sera-navy-blue--white-printed-tie-up-shrug/9657975/buy" TargetMode="External"/><Relationship Id="rId966" Type="http://schemas.openxmlformats.org/officeDocument/2006/relationships/hyperlink" Target="https://www.myntra.com/shirts/roadster/roadster-men-navy-blue-printed-pure-cotton-sustainable-casual-shirt/10740920/buy" TargetMode="External"/><Relationship Id="rId11" Type="http://schemas.openxmlformats.org/officeDocument/2006/relationships/hyperlink" Target="https://www.myntra.com/tights/hrx-by-hrithik-roshan/hrx-by-hrithik-roshan-men-rapid-dry-training-tights/7695793/buy" TargetMode="External"/><Relationship Id="rId314" Type="http://schemas.openxmlformats.org/officeDocument/2006/relationships/hyperlink" Target="https://www.myntra.com/sarees/kalini/kalini-peach-coloured--blue-polycotton-baluchari-saree/14675114/buy" TargetMode="External"/><Relationship Id="rId398" Type="http://schemas.openxmlformats.org/officeDocument/2006/relationships/hyperlink" Target="https://www.myntra.com/shirts/roadster/roadster-men-grey--navy-blue-regular-fit-checked-casual-shirt/6849362/buy" TargetMode="External"/><Relationship Id="rId521" Type="http://schemas.openxmlformats.org/officeDocument/2006/relationships/hyperlink" Target="https://www.myntra.com/dresses/dressberry/dressberry-women-deep-navy-blue-romantic-florals-dress/10440496/buy" TargetMode="External"/><Relationship Id="rId619" Type="http://schemas.openxmlformats.org/officeDocument/2006/relationships/hyperlink" Target="https://www.myntra.com/shorts/tokyo-talkies/tokyo-talkies-women-navy-blue--white-striped-regular-shorts/11970554/buy" TargetMode="External"/><Relationship Id="rId95" Type="http://schemas.openxmlformats.org/officeDocument/2006/relationships/hyperlink" Target="https://www.myntra.com/shirts/highlander/highlander-men-blue-slim-fit-solid-casual-shirt/2347572/buy" TargetMode="External"/><Relationship Id="rId160" Type="http://schemas.openxmlformats.org/officeDocument/2006/relationships/hyperlink" Target="https://www.myntra.com/dresses/anouk/anouk-women-navy-blue--beige-printed-fit-and-flare-dress-with-pleated-detail/11199262/buy" TargetMode="External"/><Relationship Id="rId826" Type="http://schemas.openxmlformats.org/officeDocument/2006/relationships/hyperlink" Target="https://www.myntra.com/jeans/roadster/roadster-men-blue-skinny-fit-mid-rise-clean-look-acid-wash-stretchable-jeans/10046861/buy" TargetMode="External"/><Relationship Id="rId258" Type="http://schemas.openxmlformats.org/officeDocument/2006/relationships/hyperlink" Target="https://www.myntra.com/dresses/cottinfab/cottinfab-black-sequinned-maxi-dress/9149689/buy" TargetMode="External"/><Relationship Id="rId465" Type="http://schemas.openxmlformats.org/officeDocument/2006/relationships/hyperlink" Target="https://www.myntra.com/kurtas/anouk/anouk-men-maroon--beige-printed-straight-short-kurta/10307987/buy" TargetMode="External"/><Relationship Id="rId672" Type="http://schemas.openxmlformats.org/officeDocument/2006/relationships/hyperlink" Target="https://www.myntra.com/trousers/black-coffee/black-coffee-men-charcoal-grey-formal-trousers/1778109/buy" TargetMode="External"/><Relationship Id="rId22" Type="http://schemas.openxmlformats.org/officeDocument/2006/relationships/hyperlink" Target="https://www.myntra.com/kurtas/anouk/anouk-women-mustard-yellow--gold-toned-printed-straight-kurta/12153330/buy" TargetMode="External"/><Relationship Id="rId118" Type="http://schemas.openxmlformats.org/officeDocument/2006/relationships/hyperlink" Target="https://www.myntra.com/dresses/sassafras/sassafras-grey--peach-coloured-floral-printed-accordian-pleat-fit--flare-dress/11364360/buy" TargetMode="External"/><Relationship Id="rId325" Type="http://schemas.openxmlformats.org/officeDocument/2006/relationships/hyperlink" Target="https://www.myntra.com/jackets/campus-sutra/campus-sutra-women-maroon-solid-puffer-jacket/12181796/buy" TargetMode="External"/><Relationship Id="rId532" Type="http://schemas.openxmlformats.org/officeDocument/2006/relationships/hyperlink" Target="https://www.myntra.com/kurtas/indo-era/indo-era-women-burgundy--golden-ethnic-motifs-yoke-design-kurta/15098616/buy" TargetMode="External"/><Relationship Id="rId977" Type="http://schemas.openxmlformats.org/officeDocument/2006/relationships/hyperlink" Target="https://www.myntra.com/tops/pluss/pluss-black-self-design-crop-top/12150614/buy" TargetMode="External"/><Relationship Id="rId171" Type="http://schemas.openxmlformats.org/officeDocument/2006/relationships/hyperlink" Target="https://www.myntra.com/dresses/antheaa/antheaa-magenta-tiered-maxi-dress/12974208/buy" TargetMode="External"/><Relationship Id="rId837" Type="http://schemas.openxmlformats.org/officeDocument/2006/relationships/hyperlink" Target="https://www.myntra.com/shorts/highlander/highlander-men-beige-solid-regular-fit-chino-shorts/8120161/buy" TargetMode="External"/><Relationship Id="rId269" Type="http://schemas.openxmlformats.org/officeDocument/2006/relationships/hyperlink" Target="https://www.myntra.com/sarees/saree-mall/saree-mall-women-pink-solid-saree/9753225/buy" TargetMode="External"/><Relationship Id="rId476" Type="http://schemas.openxmlformats.org/officeDocument/2006/relationships/hyperlink" Target="https://www.myntra.com/tshirts/roadster/roadster-women-pack-of-2-printed-cotton-t-shirt/17385104/buy" TargetMode="External"/><Relationship Id="rId683" Type="http://schemas.openxmlformats.org/officeDocument/2006/relationships/hyperlink" Target="https://www.myntra.com/tshirts/roadster/roadster-women-pack-of-2-solid-t-shirts/17381986/buy" TargetMode="External"/><Relationship Id="rId890" Type="http://schemas.openxmlformats.org/officeDocument/2006/relationships/hyperlink" Target="https://www.myntra.com/tshirts/hrx-by-hrithik-roshan/hrx-by-hrithik-roshan-men-grey-solid-high-neck-t-shirt/2520585/buy" TargetMode="External"/><Relationship Id="rId904" Type="http://schemas.openxmlformats.org/officeDocument/2006/relationships/hyperlink" Target="https://www.myntra.com/tops/dressberry/dressberry-women-pretty-pink-solid-puff-sleeves-top/11002194/buy" TargetMode="External"/><Relationship Id="rId33" Type="http://schemas.openxmlformats.org/officeDocument/2006/relationships/hyperlink" Target="https://www.myntra.com/jumpsuit/cottinfab/cottinfab-olive-green-solid-cold-shoulder-jumpsuit/7846797/buy" TargetMode="External"/><Relationship Id="rId129" Type="http://schemas.openxmlformats.org/officeDocument/2006/relationships/hyperlink" Target="https://www.myntra.com/kurtas/yuris/yuris-women-pink--white-printed-straight-kurta/10054351/buy" TargetMode="External"/><Relationship Id="rId336" Type="http://schemas.openxmlformats.org/officeDocument/2006/relationships/hyperlink" Target="https://www.myntra.com/tshirts/mast--harbour/mast--harbour-women-mustard-yellow-pack-of-2-typography-printed-t-shirt/17523596/buy" TargetMode="External"/><Relationship Id="rId543" Type="http://schemas.openxmlformats.org/officeDocument/2006/relationships/hyperlink" Target="https://www.myntra.com/kurtas/herenow/herenow-women-beige--maroon-printed-straight-kurta/12520604/buy" TargetMode="External"/><Relationship Id="rId988" Type="http://schemas.openxmlformats.org/officeDocument/2006/relationships/hyperlink" Target="https://www.myntra.com/track-pants/dressberry/dressberry-women-olive-green-solid-joggers/9265605/buy" TargetMode="External"/><Relationship Id="rId182" Type="http://schemas.openxmlformats.org/officeDocument/2006/relationships/hyperlink" Target="https://www.myntra.com/tshirts/roadster/the-roadster-lifestyle-co-women-mustard-yellow-solid-round-neck-t-shirt/9697407/buy" TargetMode="External"/><Relationship Id="rId403" Type="http://schemas.openxmlformats.org/officeDocument/2006/relationships/hyperlink" Target="https://www.myntra.com/jeans/kook-n-keech/kook-n-keech-women-black--blue-boyfriend-fit-mid-rise-colourblocked-cropped-jeans/7255283/buy" TargetMode="External"/><Relationship Id="rId750" Type="http://schemas.openxmlformats.org/officeDocument/2006/relationships/hyperlink" Target="https://www.myntra.com/tshirts/kook-n-keech-disney/kook-n-keech-disney-men-blue-printed-round-neck-oversize-t-shirt/2095974/buy" TargetMode="External"/><Relationship Id="rId848" Type="http://schemas.openxmlformats.org/officeDocument/2006/relationships/hyperlink" Target="https://www.myntra.com/shirts/roadster/roadster-men-navy-blue--green-summer-check-sustainable-casual-shirt/8225991/buy" TargetMode="External"/><Relationship Id="rId487" Type="http://schemas.openxmlformats.org/officeDocument/2006/relationships/hyperlink" Target="https://www.myntra.com/kurtas/sangria/sangria-women-green--orange-ethnic-print-straight-kurta/13437256/buy" TargetMode="External"/><Relationship Id="rId610" Type="http://schemas.openxmlformats.org/officeDocument/2006/relationships/hyperlink" Target="https://www.myntra.com/dresses/dressberry/dressberry-women-black-solid-sheath-dress/10526790/buy" TargetMode="External"/><Relationship Id="rId694" Type="http://schemas.openxmlformats.org/officeDocument/2006/relationships/hyperlink" Target="https://www.myntra.com/tshirts/mast--harbour/mast--harbour-men-olive-green-solid-round-neck-t-shirt/3082390/buy" TargetMode="External"/><Relationship Id="rId708" Type="http://schemas.openxmlformats.org/officeDocument/2006/relationships/hyperlink" Target="https://www.myntra.com/shirts/her-by-invictus/her-by-invictus-women-maroon--white-printed-casual-shirt/9410705/buy" TargetMode="External"/><Relationship Id="rId915" Type="http://schemas.openxmlformats.org/officeDocument/2006/relationships/hyperlink" Target="https://www.myntra.com/jeans/locomotive/locomotive-men-white-slim-fit-mid-rise-clean-look-stretchable-jeans/8064707/buy" TargetMode="External"/><Relationship Id="rId347" Type="http://schemas.openxmlformats.org/officeDocument/2006/relationships/hyperlink" Target="https://www.myntra.com/trunk/us-polo-assn/us-polo-assn-men-white-solid-trunks-i660-001/9168717/buy" TargetMode="External"/><Relationship Id="rId999" Type="http://schemas.openxmlformats.org/officeDocument/2006/relationships/hyperlink" Target="https://www.myntra.com/shirts/herenow/herenow-men-olive-green-slim-fit-solid-casual-shirt/8979975/buy" TargetMode="External"/><Relationship Id="rId44" Type="http://schemas.openxmlformats.org/officeDocument/2006/relationships/hyperlink" Target="https://www.myntra.com/tops/her-by-invictus/her-by-invictus-white--black-floral-monochrome-smart-casual-top/9451341/buy" TargetMode="External"/><Relationship Id="rId554" Type="http://schemas.openxmlformats.org/officeDocument/2006/relationships/hyperlink" Target="https://www.myntra.com/kurta-sets/anouk/anouk-women-grey--rust-orange-yellow-printed-kurta-with-palazzos/11201504/buy" TargetMode="External"/><Relationship Id="rId761" Type="http://schemas.openxmlformats.org/officeDocument/2006/relationships/hyperlink" Target="https://www.myntra.com/tshirts/ether/ether-women-blue--white-striped-round-neck-pure-cotton-t-shirt/11900346/buy" TargetMode="External"/><Relationship Id="rId859" Type="http://schemas.openxmlformats.org/officeDocument/2006/relationships/hyperlink" Target="https://www.myntra.com/tights/hrx-by-hrithik-roshan/hrx-by-hrithik-roshan-women-black-self-design-rapid-dry-seamless-yoga-tights/10106321/buy" TargetMode="External"/><Relationship Id="rId193" Type="http://schemas.openxmlformats.org/officeDocument/2006/relationships/hyperlink" Target="https://www.myntra.com/dresses/mish/mish-purple-v-neck-maxi-dress/11425620/buy" TargetMode="External"/><Relationship Id="rId207" Type="http://schemas.openxmlformats.org/officeDocument/2006/relationships/hyperlink" Target="https://www.myntra.com/tops/la-zoire/la-zoire-women-maroon-solid-top/8861985/buy" TargetMode="External"/><Relationship Id="rId414" Type="http://schemas.openxmlformats.org/officeDocument/2006/relationships/hyperlink" Target="https://www.myntra.com/kurtas/varanga/varanga-women-black--white-printed-straight-kurta/12488786/buy" TargetMode="External"/><Relationship Id="rId498" Type="http://schemas.openxmlformats.org/officeDocument/2006/relationships/hyperlink" Target="https://www.myntra.com/tops/her-by-invictus/her-by-invictus-teal-blue--black-conversational-pleated-top/10821238/buy" TargetMode="External"/><Relationship Id="rId621" Type="http://schemas.openxmlformats.org/officeDocument/2006/relationships/hyperlink" Target="https://www.myntra.com/shirts/roadster/roadster-men-maroon-cotton-linen-sustainable-casual-shirt/8217979/buy" TargetMode="External"/><Relationship Id="rId260" Type="http://schemas.openxmlformats.org/officeDocument/2006/relationships/hyperlink" Target="https://www.myntra.com/jeans/mast--harbour/mast--harbour-men-navy-blue-slim-tapered-fit-mid-rise-clean-look-stretchable-jeans/12983800/buy" TargetMode="External"/><Relationship Id="rId719" Type="http://schemas.openxmlformats.org/officeDocument/2006/relationships/hyperlink" Target="https://www.myntra.com/shirts/highlander/highlander-men-black--white-slim-fit-checked-casual-shirt/8469261/buy" TargetMode="External"/><Relationship Id="rId926" Type="http://schemas.openxmlformats.org/officeDocument/2006/relationships/hyperlink" Target="https://www.myntra.com/tshirts/moda-rapido/moda-rapido-women-grey-graphic-printed-longline-cotton-pure-cotton-t-shirt/12018218/buy" TargetMode="External"/><Relationship Id="rId55" Type="http://schemas.openxmlformats.org/officeDocument/2006/relationships/hyperlink" Target="https://www.myntra.com/jeans/roadster/roadster-men-blue-slim-fit-mid-rise-mildly-distressed-stretchable-jeans/10064487/buy" TargetMode="External"/><Relationship Id="rId120" Type="http://schemas.openxmlformats.org/officeDocument/2006/relationships/hyperlink" Target="https://www.myntra.com/kurtas/jaipur-kurti/jaipur-kurti-women-grey--black-checked-straight-kurta/10317827/buy" TargetMode="External"/><Relationship Id="rId358" Type="http://schemas.openxmlformats.org/officeDocument/2006/relationships/hyperlink" Target="https://www.myntra.com/trousers/roadster/roadster-men-black-sustainable-trousers/11201226/buy" TargetMode="External"/><Relationship Id="rId565" Type="http://schemas.openxmlformats.org/officeDocument/2006/relationships/hyperlink" Target="https://www.myntra.com/sarees/mitera/mitera-maroon--gold-toned-silk-blend-woven-design-kanjeevaram-saree/11117398/buy" TargetMode="External"/><Relationship Id="rId772" Type="http://schemas.openxmlformats.org/officeDocument/2006/relationships/hyperlink" Target="https://www.myntra.com/dresses/deebaco/deebaco-turquoise-blue-tropical-printed-smocked-fit--flare-dress-with-shrug/14483862/buy" TargetMode="External"/><Relationship Id="rId218" Type="http://schemas.openxmlformats.org/officeDocument/2006/relationships/hyperlink" Target="https://www.myntra.com/lounge-pants/clovia/clovia-women-grey-melange-solid-lounge-pants/9299469/buy" TargetMode="External"/><Relationship Id="rId425" Type="http://schemas.openxmlformats.org/officeDocument/2006/relationships/hyperlink" Target="https://www.myntra.com/kurtas/anouk/anouk-women-red--black-checked-straight-kurta/8621731/buy" TargetMode="External"/><Relationship Id="rId632" Type="http://schemas.openxmlformats.org/officeDocument/2006/relationships/hyperlink" Target="https://www.myntra.com/track-pants/mast--harbour/mast--harbour-women-dusty-pink-solid-track-pants/12332478/buy" TargetMode="External"/><Relationship Id="rId271" Type="http://schemas.openxmlformats.org/officeDocument/2006/relationships/hyperlink" Target="https://www.myntra.com/shirts/all-about-you/all-about-you-women-mustard-stretchable-casual-shirt/13205026/buy" TargetMode="External"/><Relationship Id="rId937" Type="http://schemas.openxmlformats.org/officeDocument/2006/relationships/hyperlink" Target="https://www.myntra.com/dresses/dressberry/dressberry-green--off-white-floral-printed-a-line-dress/10440650/buy" TargetMode="External"/><Relationship Id="rId66" Type="http://schemas.openxmlformats.org/officeDocument/2006/relationships/hyperlink" Target="https://www.myntra.com/dresses/sangria/sangria-teal-blue--coral-pink-floral-print-a-line-dress/11174094/buy" TargetMode="External"/><Relationship Id="rId131" Type="http://schemas.openxmlformats.org/officeDocument/2006/relationships/hyperlink" Target="https://www.myntra.com/kurta-sets/anubhutee/anubhutee-women-pink--white-pure-cotton-bandhani-print-kurta-with-trousers/13581338/buy" TargetMode="External"/><Relationship Id="rId369" Type="http://schemas.openxmlformats.org/officeDocument/2006/relationships/hyperlink" Target="https://www.myntra.com/shirts/highlander/highlander-men-white--blue-slim-fit-printed-casual-shirt/14205782/buy" TargetMode="External"/><Relationship Id="rId576" Type="http://schemas.openxmlformats.org/officeDocument/2006/relationships/hyperlink" Target="https://www.myntra.com/briefs/softrose/softrose-women-pack-of-3-boyshorts-sh7004pfc/782817/buy" TargetMode="External"/><Relationship Id="rId783" Type="http://schemas.openxmlformats.org/officeDocument/2006/relationships/hyperlink" Target="https://www.myntra.com/dresses/uf/uf-navy-blue--pink-floral-printed-maxi-dress/11100708/buy" TargetMode="External"/><Relationship Id="rId990" Type="http://schemas.openxmlformats.org/officeDocument/2006/relationships/hyperlink" Target="https://www.myntra.com/trousers/highlander/highlander-men-green-tapered-fit-solid-chinos/6743832/buy" TargetMode="External"/><Relationship Id="rId229" Type="http://schemas.openxmlformats.org/officeDocument/2006/relationships/hyperlink" Target="https://www.myntra.com/tops/sangria/sangria-rust-red-ethnic-motifs-flared-a-line-pure-cotton-top/8349547/buy" TargetMode="External"/><Relationship Id="rId436" Type="http://schemas.openxmlformats.org/officeDocument/2006/relationships/hyperlink" Target="https://www.myntra.com/shirts/moda-rapido/moda-rapido-men-mustard-floral-resort-wear-shirt/11158218/buy" TargetMode="External"/><Relationship Id="rId643" Type="http://schemas.openxmlformats.org/officeDocument/2006/relationships/hyperlink" Target="https://www.myntra.com/leggings/go-colors/go-colors-women-gold-toned-solid-skinny-fit-shimmer-ankle-length-leggings/4891826/buy" TargetMode="External"/><Relationship Id="rId850" Type="http://schemas.openxmlformats.org/officeDocument/2006/relationships/hyperlink" Target="https://www.myntra.com/bra/zivame/zivame-black-solid-non-wired-lightly-padded-t-shirt-bra-zi1175fasheblak/12415698/buy" TargetMode="External"/><Relationship Id="rId948" Type="http://schemas.openxmlformats.org/officeDocument/2006/relationships/hyperlink" Target="https://www.myntra.com/tshirts/roadster/roadster-women-pack-of-2-printed-cotton-t-shirt/17384862/buy" TargetMode="External"/><Relationship Id="rId77" Type="http://schemas.openxmlformats.org/officeDocument/2006/relationships/hyperlink" Target="https://www.myntra.com/jeans/roadster/roadster-women-stunning-blue-boyfriend-fit-stretchable-jeans/11045892/buy" TargetMode="External"/><Relationship Id="rId282" Type="http://schemas.openxmlformats.org/officeDocument/2006/relationships/hyperlink" Target="https://www.myntra.com/bra/floret/floret-pink-pack-of-2-full-coverage-minimizer-bras-t3033/1908862/buy" TargetMode="External"/><Relationship Id="rId503" Type="http://schemas.openxmlformats.org/officeDocument/2006/relationships/hyperlink" Target="https://www.myntra.com/dresses/pluss/pluss-women-red-embroidered-fit--flare-dress/9657035/buy" TargetMode="External"/><Relationship Id="rId587" Type="http://schemas.openxmlformats.org/officeDocument/2006/relationships/hyperlink" Target="https://www.myntra.com/socks/mast--harbour/mast--harbour-men-set-of-3-grey-melange-socks/618673/buy" TargetMode="External"/><Relationship Id="rId710" Type="http://schemas.openxmlformats.org/officeDocument/2006/relationships/hyperlink" Target="https://www.myntra.com/jeans/high-star/high-star-women-black-slim-fit-high-rise-clean-look-stretchable-jeans/10343531/buy" TargetMode="External"/><Relationship Id="rId808" Type="http://schemas.openxmlformats.org/officeDocument/2006/relationships/hyperlink" Target="https://www.myntra.com/shorts/highlander/highlander-men-navy-blue-striped-slim-fit-regular-shorts/10341661/buy" TargetMode="External"/><Relationship Id="rId8" Type="http://schemas.openxmlformats.org/officeDocument/2006/relationships/hyperlink" Target="https://www.myntra.com/tops/mayra/mayra-pink-embroidered-a-line-pure-cotton-top/8439415/buy" TargetMode="External"/><Relationship Id="rId142" Type="http://schemas.openxmlformats.org/officeDocument/2006/relationships/hyperlink" Target="https://www.myntra.com/tshirts/roadster/roadster-women-black-geo-printed-round-neck-t-shirt/8353077/buy" TargetMode="External"/><Relationship Id="rId447" Type="http://schemas.openxmlformats.org/officeDocument/2006/relationships/hyperlink" Target="https://www.myntra.com/jeans/roadster/roadster-women-navy-blue-super-skinny-fit-high-rise-clean-look-stretchable-jeans/12278628/buy" TargetMode="External"/><Relationship Id="rId794" Type="http://schemas.openxmlformats.org/officeDocument/2006/relationships/hyperlink" Target="https://www.myntra.com/tshirts/roadster/the-roadster-lifestyle-co-women-black-solid-round-neck-t-shirt/10778698/buy" TargetMode="External"/><Relationship Id="rId654" Type="http://schemas.openxmlformats.org/officeDocument/2006/relationships/hyperlink" Target="https://www.myntra.com/jeans/roadster/roadster-women-blue-skinny-fit-mid-rise-clean-look-stretchable-cropped-jeans/9205377/buy" TargetMode="External"/><Relationship Id="rId861" Type="http://schemas.openxmlformats.org/officeDocument/2006/relationships/hyperlink" Target="https://www.myntra.com/trousers/tokyo-talkies/tokyo-talkies-women-beige-regular-fit-self-design-parallel-trousers/12209962/buy" TargetMode="External"/><Relationship Id="rId959" Type="http://schemas.openxmlformats.org/officeDocument/2006/relationships/hyperlink" Target="https://www.myntra.com/track-pants/hrx-by-hrithik-roshan/hrx-by-hrithik-roshan-men-navy-melange-solid-regular-fit-bio-wash-lifestyle-jogger/11998924/buy" TargetMode="External"/><Relationship Id="rId293" Type="http://schemas.openxmlformats.org/officeDocument/2006/relationships/hyperlink" Target="https://www.myntra.com/tights/hrx-by-hrithik-roshan/hrx-active-by-hrithik-roshan-women-charcoal-grey-solid-three-fourth-length-training-tights/5842092/buy" TargetMode="External"/><Relationship Id="rId307" Type="http://schemas.openxmlformats.org/officeDocument/2006/relationships/hyperlink" Target="https://www.myntra.com/dresses/tokyo-talkies/tokyo-talkies-women-checked-grey-shirt-dress/10845288/buy" TargetMode="External"/><Relationship Id="rId514" Type="http://schemas.openxmlformats.org/officeDocument/2006/relationships/hyperlink" Target="https://www.myntra.com/sweatshirts/campus-sutra/campus-sutra-men-navy-blue-solid-hooded-sweatshirt/10381405/buy" TargetMode="External"/><Relationship Id="rId721" Type="http://schemas.openxmlformats.org/officeDocument/2006/relationships/hyperlink" Target="https://www.myntra.com/kurta-sets/prakhya/prakhya-women-pink-embroidered-kurta-with-trousers--dupatta/13607464/buy" TargetMode="External"/><Relationship Id="rId88" Type="http://schemas.openxmlformats.org/officeDocument/2006/relationships/hyperlink" Target="https://www.myntra.com/shirts/highlander/highlander-men-peach-coloured-slim-fit-solid-casual-shirt/2888743/buy" TargetMode="External"/><Relationship Id="rId153" Type="http://schemas.openxmlformats.org/officeDocument/2006/relationships/hyperlink" Target="https://www.myntra.com/tshirts/wrogn/wrogn-men-maroon-printed-t-shirt/2338881/buy" TargetMode="External"/><Relationship Id="rId360" Type="http://schemas.openxmlformats.org/officeDocument/2006/relationships/hyperlink" Target="https://www.myntra.com/boxers/urban-scottish/urban-scottish-men-pack-of-2-printed-pure-cotton-boxers-re-usbx1805/12446096/buy" TargetMode="External"/><Relationship Id="rId598" Type="http://schemas.openxmlformats.org/officeDocument/2006/relationships/hyperlink" Target="https://www.myntra.com/jackets/highlander/highlander-men-blue-solid-denim-jacket-jacket/11009086/buy" TargetMode="External"/><Relationship Id="rId819" Type="http://schemas.openxmlformats.org/officeDocument/2006/relationships/hyperlink" Target="https://www.myntra.com/tops/nayo/nayo-burgundy--white-floral-printed-pure-cotton-top/13706216/buy" TargetMode="External"/><Relationship Id="rId220" Type="http://schemas.openxmlformats.org/officeDocument/2006/relationships/hyperlink" Target="https://www.myntra.com/kurtas/herenow/herenow-women-teal-blue--white-printed-a-line-kurta/7119163/buy" TargetMode="External"/><Relationship Id="rId458" Type="http://schemas.openxmlformats.org/officeDocument/2006/relationships/hyperlink" Target="https://www.myntra.com/tops/dressberry/dressberry-women-navy-blue--orange-floral-print-top/11182738/buy" TargetMode="External"/><Relationship Id="rId665" Type="http://schemas.openxmlformats.org/officeDocument/2006/relationships/hyperlink" Target="https://www.myntra.com/lounge-pants/vimal/vimal-men-pack-of-2-grey-solid-cotton-lounge-pants/13676458/buy" TargetMode="External"/><Relationship Id="rId872" Type="http://schemas.openxmlformats.org/officeDocument/2006/relationships/hyperlink" Target="https://www.myntra.com/tshirts/kook-n-keech-superman/kook-n-keech-superman-men-white-printed-round-neck-pure-cotton-t-shirt/10283867/buy" TargetMode="External"/><Relationship Id="rId15" Type="http://schemas.openxmlformats.org/officeDocument/2006/relationships/hyperlink" Target="https://www.myntra.com/tshirts/roadster/roadster-women-maroon-solid-round-neck-t-shirt/2312181/buy" TargetMode="External"/><Relationship Id="rId318" Type="http://schemas.openxmlformats.org/officeDocument/2006/relationships/hyperlink" Target="https://www.myntra.com/tshirts/roadster/roadster-women-olive-green-brand-logo-printed-round-neck-pure-cotton-t-shirt/11404294/buy" TargetMode="External"/><Relationship Id="rId525" Type="http://schemas.openxmlformats.org/officeDocument/2006/relationships/hyperlink" Target="https://www.myntra.com/tshirts/veirdo/veirdo-men-black-printed-round-neck-pure-cotton-t-shirt/12915204/buy" TargetMode="External"/><Relationship Id="rId732" Type="http://schemas.openxmlformats.org/officeDocument/2006/relationships/hyperlink" Target="https://www.myntra.com/bra/jockey/jockey-pink-medium-coverage-seamless-shaper-bra-1722/1376778/buy" TargetMode="External"/><Relationship Id="rId99" Type="http://schemas.openxmlformats.org/officeDocument/2006/relationships/hyperlink" Target="https://www.myntra.com/jeans/roadster/roadster-women-blue-boyfriend-fit-high-rise-clean-look-stretchable-jeans/8801149/buy" TargetMode="External"/><Relationship Id="rId164" Type="http://schemas.openxmlformats.org/officeDocument/2006/relationships/hyperlink" Target="https://www.myntra.com/shirts/wrogn/wrogn-men-navy-slim-fit-printed-casual-shirt/1729348/buy" TargetMode="External"/><Relationship Id="rId371" Type="http://schemas.openxmlformats.org/officeDocument/2006/relationships/hyperlink" Target="https://www.myntra.com/tshirts/hrx-by-hrithik-roshan/hrx-by-hrithik-roshan-women-white-printed-round-neck-running-pure-cotton-t-shirt/11037088/buy" TargetMode="External"/><Relationship Id="rId469" Type="http://schemas.openxmlformats.org/officeDocument/2006/relationships/hyperlink" Target="https://www.myntra.com/tshirts/mast--harbour/mast--harbour-women-pack-of-2-solid-tshirts/17523394/buy" TargetMode="External"/><Relationship Id="rId676" Type="http://schemas.openxmlformats.org/officeDocument/2006/relationships/hyperlink" Target="https://www.myntra.com/jeans/tokyo-talkies/tokyo-talkies-women-blue-super-skinny-fit-mid-rise-clean-look-stretchable-jeans/8195013/buy" TargetMode="External"/><Relationship Id="rId883" Type="http://schemas.openxmlformats.org/officeDocument/2006/relationships/hyperlink" Target="https://www.myntra.com/jeans/wrogn/wrogn-men-black-slim-fit-mid-rise-clean-look-stretchable-jeans/10187447/buy" TargetMode="External"/><Relationship Id="rId26" Type="http://schemas.openxmlformats.org/officeDocument/2006/relationships/hyperlink" Target="https://www.myntra.com/tops/rare/rare-women-maroon-striped-top/6552977/buy" TargetMode="External"/><Relationship Id="rId231" Type="http://schemas.openxmlformats.org/officeDocument/2006/relationships/hyperlink" Target="https://www.myntra.com/tshirts/herenow/herenow-women-black--red-striped-high-neck-t-shirt/11759370/buy" TargetMode="External"/><Relationship Id="rId329" Type="http://schemas.openxmlformats.org/officeDocument/2006/relationships/hyperlink" Target="https://www.myntra.com/kurtas/sangria/sangria-women-white--peach-coloured-ethnic-motifs-printed-pure-cotton-straight-kurta/13437322/buy" TargetMode="External"/><Relationship Id="rId536" Type="http://schemas.openxmlformats.org/officeDocument/2006/relationships/hyperlink" Target="https://www.myntra.com/sarees/ishin/ishin-navy-poly-georgette-printed-saree/1566011/buy" TargetMode="External"/><Relationship Id="rId175" Type="http://schemas.openxmlformats.org/officeDocument/2006/relationships/hyperlink" Target="https://www.myntra.com/bra/zivame/zivame-white-self-design-non-wired-non-padded-everyday-bra-zi0zpctb03awhte/5678795/buy" TargetMode="External"/><Relationship Id="rId743" Type="http://schemas.openxmlformats.org/officeDocument/2006/relationships/hyperlink" Target="https://www.myntra.com/tshirts/ether/ether-women-coral--white-striped-round-neck-extended-sleeve-chest-pocket-t-shirt/1763177/buy" TargetMode="External"/><Relationship Id="rId950" Type="http://schemas.openxmlformats.org/officeDocument/2006/relationships/hyperlink" Target="https://www.myntra.com/tops/mayra/mayra-women-black-solid-crop-top/4441317/buy" TargetMode="External"/><Relationship Id="rId382" Type="http://schemas.openxmlformats.org/officeDocument/2006/relationships/hyperlink" Target="https://www.myntra.com/dresses/roadster/roadster-easy-shift-dress-in-cotton-blend/2368774/buy" TargetMode="External"/><Relationship Id="rId603" Type="http://schemas.openxmlformats.org/officeDocument/2006/relationships/hyperlink" Target="https://www.myntra.com/dresses/sassafras/sassafras-mustard-yellow--green-floral-print-wrap-asymmetric-dress/11364204/buy" TargetMode="External"/><Relationship Id="rId687" Type="http://schemas.openxmlformats.org/officeDocument/2006/relationships/hyperlink" Target="https://www.myntra.com/shirts/highlander/highlander-men-olive-green-slim-fit-printed-casual-shirt/10863420/buy" TargetMode="External"/><Relationship Id="rId810" Type="http://schemas.openxmlformats.org/officeDocument/2006/relationships/hyperlink" Target="https://www.myntra.com/kurta-sets/sangria/sangira-women-grey-printed-kurta-with-palazzo--dupatta/8350295/buy" TargetMode="External"/><Relationship Id="rId908" Type="http://schemas.openxmlformats.org/officeDocument/2006/relationships/hyperlink" Target="https://www.myntra.com/shirts/mast--harbour/mast--harbour-men-blue-regular-fit-solid-casual--linen-sustainable-shirt/11369814/buy" TargetMode="External"/><Relationship Id="rId242" Type="http://schemas.openxmlformats.org/officeDocument/2006/relationships/hyperlink" Target="https://www.myntra.com/shorts/dressberry/dressberry-women-stunning-blue-washed-fringed-shorts/11264146/buy" TargetMode="External"/><Relationship Id="rId894" Type="http://schemas.openxmlformats.org/officeDocument/2006/relationships/hyperlink" Target="https://www.myntra.com/dresses/sassafras/sassafras-brown-empire-flared-dress/9070049/buy" TargetMode="External"/><Relationship Id="rId37" Type="http://schemas.openxmlformats.org/officeDocument/2006/relationships/hyperlink" Target="https://www.myntra.com/track-pants/tokyo-talkies/tokyo-talkies-women-black-solid-casual-joggers/14154054/buy" TargetMode="External"/><Relationship Id="rId102" Type="http://schemas.openxmlformats.org/officeDocument/2006/relationships/hyperlink" Target="https://www.myntra.com/jeans/wrogn/wrogn-men-grey-slim-fit-mid-rise-clean-look-jeans/1700734/buy" TargetMode="External"/><Relationship Id="rId547" Type="http://schemas.openxmlformats.org/officeDocument/2006/relationships/hyperlink" Target="https://www.myntra.com/dresses/athena/athena-lavender-scuba-bodycon-maxi-tulle-dress-with-ruffled-shoulder/15227166/buy" TargetMode="External"/><Relationship Id="rId754" Type="http://schemas.openxmlformats.org/officeDocument/2006/relationships/hyperlink" Target="https://www.myntra.com/tops/rare/rare-blue-printed-off-shoulder-blouson-top/1109295/buy" TargetMode="External"/><Relationship Id="rId961" Type="http://schemas.openxmlformats.org/officeDocument/2006/relationships/hyperlink" Target="https://www.myntra.com/dresses/pluss/pluss-rust-brown--white-polka-dot-print-sheath-dress-with-ruched-detail/13914244/buy" TargetMode="External"/><Relationship Id="rId90" Type="http://schemas.openxmlformats.org/officeDocument/2006/relationships/hyperlink" Target="https://www.myntra.com/briefs/dollar-missy/dollar-missy-women-pack-of-12-hipster--101s-oe-po12/8025483/buy" TargetMode="External"/><Relationship Id="rId186" Type="http://schemas.openxmlformats.org/officeDocument/2006/relationships/hyperlink" Target="https://www.myntra.com/jeans/ether/ether-women-ice-blue-wide-leg-high-rise-denim-with-light-fade/2325411/buy" TargetMode="External"/><Relationship Id="rId393" Type="http://schemas.openxmlformats.org/officeDocument/2006/relationships/hyperlink" Target="https://www.myntra.com/dresses/dressberry/dressberry-women-navy-blue-solid-tiered-a-line-dress/11183816/buy" TargetMode="External"/><Relationship Id="rId407" Type="http://schemas.openxmlformats.org/officeDocument/2006/relationships/hyperlink" Target="https://www.myntra.com/kurtas/yuris/yuris-women-pink--white-printed-straight-kurta/10054361/buy" TargetMode="External"/><Relationship Id="rId614" Type="http://schemas.openxmlformats.org/officeDocument/2006/relationships/hyperlink" Target="https://www.myntra.com/kurta-sets/anouk/anouk-women-pink--gold-toned-printed-kurta-with-palazzos/11202304/buy" TargetMode="External"/><Relationship Id="rId821" Type="http://schemas.openxmlformats.org/officeDocument/2006/relationships/hyperlink" Target="https://www.myntra.com/jackets/roadster/the-roadster-lifestyle-co-women-peach-coloured-solid-puffer-jacket/9479095/buy" TargetMode="External"/><Relationship Id="rId253" Type="http://schemas.openxmlformats.org/officeDocument/2006/relationships/hyperlink" Target="https://www.myntra.com/dresses/campus-sutra/campus-sutra-mint-green--white-printed-shirt-dress-with-side-slits/12181732/buy" TargetMode="External"/><Relationship Id="rId460" Type="http://schemas.openxmlformats.org/officeDocument/2006/relationships/hyperlink" Target="https://www.myntra.com/shirts/ether/ether-men-black-slim-fit-antimicrobial-cotton-stretch-shirt/1155795/buy" TargetMode="External"/><Relationship Id="rId698" Type="http://schemas.openxmlformats.org/officeDocument/2006/relationships/hyperlink" Target="https://www.myntra.com/briefs/jockey/jockey-men-multicoloured-printed-briefs-ny01-0105-nyc06/10906454/buy" TargetMode="External"/><Relationship Id="rId919" Type="http://schemas.openxmlformats.org/officeDocument/2006/relationships/hyperlink" Target="https://www.myntra.com/track-pants/hrx-by-hrithik-roshan/hrx-by-hrithik-roshan-men-grey-melange-solid-slim-fit-rapid-dry-running-track-pants/8328405/buy" TargetMode="External"/><Relationship Id="rId48" Type="http://schemas.openxmlformats.org/officeDocument/2006/relationships/hyperlink" Target="https://www.myntra.com/socks/hrx-by-hrithik-roshan/hrx-by-hrithik-roshan-men-quarter-length-pack-of-3-terry-socks/976816/buy" TargetMode="External"/><Relationship Id="rId113" Type="http://schemas.openxmlformats.org/officeDocument/2006/relationships/hyperlink" Target="https://www.myntra.com/shirts/herenow/herenow-men-white--green-slim-fit-striped-casual-shirt/10316399/buy" TargetMode="External"/><Relationship Id="rId320" Type="http://schemas.openxmlformats.org/officeDocument/2006/relationships/hyperlink" Target="https://www.myntra.com/tshirts/hrx-by-hrithik-roshan/hrx-by-hrithik-roshan-men-grey-self-design-round-neck-active-t-shirt/1987411/buy" TargetMode="External"/><Relationship Id="rId558" Type="http://schemas.openxmlformats.org/officeDocument/2006/relationships/hyperlink" Target="https://www.myntra.com/tshirts/roadster/roadster-men-charcoal-grey-melange-solid-scoop-neck-pure-cotton-t-shirt-with-racer-back/11632492/buy" TargetMode="External"/><Relationship Id="rId765" Type="http://schemas.openxmlformats.org/officeDocument/2006/relationships/hyperlink" Target="https://www.myntra.com/tights/hrx-by-hrithik-roshan/hrx-active-by-hrithik-roshan-black-solid-tights/1864296/buy" TargetMode="External"/><Relationship Id="rId972" Type="http://schemas.openxmlformats.org/officeDocument/2006/relationships/hyperlink" Target="https://www.myntra.com/tshirts/mast--harbour/mast--harbour-women-pack-of-2-cotton-t-shirts/17524582/buy" TargetMode="External"/><Relationship Id="rId197" Type="http://schemas.openxmlformats.org/officeDocument/2006/relationships/hyperlink" Target="https://www.myntra.com/tshirts/roadster/roadster-men-teal-blue-printed-round-neck-pure-cotton-t-shirt/10574802/buy" TargetMode="External"/><Relationship Id="rId418" Type="http://schemas.openxmlformats.org/officeDocument/2006/relationships/hyperlink" Target="https://www.myntra.com/jackets/ether/ether-women-navy-blue-solid-bomber/6697880/buy" TargetMode="External"/><Relationship Id="rId625" Type="http://schemas.openxmlformats.org/officeDocument/2006/relationships/hyperlink" Target="https://www.myntra.com/kurtas/sangria/sangria-women-sea-green--rust-red-printed-straight-kurta/11536894/buy" TargetMode="External"/><Relationship Id="rId832" Type="http://schemas.openxmlformats.org/officeDocument/2006/relationships/hyperlink" Target="https://www.myntra.com/tops/street-9/street-9-burgundy-self-design-crop-pure-cotton-top/7287325/buy" TargetMode="External"/><Relationship Id="rId264" Type="http://schemas.openxmlformats.org/officeDocument/2006/relationships/hyperlink" Target="https://www.myntra.com/kurtas/sangria/sangria-women-white--blue-printed-straight-kurta/11174384/buy" TargetMode="External"/><Relationship Id="rId471" Type="http://schemas.openxmlformats.org/officeDocument/2006/relationships/hyperlink" Target="https://www.myntra.com/sweatshirts/roadster/the-roadster-lifestyle-co-women-green-solid-sweatshirt/9478295/buy" TargetMode="External"/><Relationship Id="rId59" Type="http://schemas.openxmlformats.org/officeDocument/2006/relationships/hyperlink" Target="https://www.myntra.com/shirts/highlander/highlander-men-black--white-slim-fit-striped-casual-shirt/12027772/buy" TargetMode="External"/><Relationship Id="rId124" Type="http://schemas.openxmlformats.org/officeDocument/2006/relationships/hyperlink" Target="https://www.myntra.com/tshirts/wrogn/wrogn-men-off-white--navy-striped-polo-pure-cotton-t-shirt/2478316/buy" TargetMode="External"/><Relationship Id="rId569" Type="http://schemas.openxmlformats.org/officeDocument/2006/relationships/hyperlink" Target="https://www.myntra.com/jeans/chemistry/chemistry-women-blue-flared-fit-mid-rise-clean-look-stretchable-jeans/8317537/buy" TargetMode="External"/><Relationship Id="rId776" Type="http://schemas.openxmlformats.org/officeDocument/2006/relationships/hyperlink" Target="https://www.myntra.com/kurtas/ksut/ksut-women-black-solid-straight-kurta/10817836/buy" TargetMode="External"/><Relationship Id="rId983" Type="http://schemas.openxmlformats.org/officeDocument/2006/relationships/hyperlink" Target="https://www.myntra.com/socks/wrogn/wrogn-men-set-of-3-above-ankle-socks/12402758/buy" TargetMode="External"/><Relationship Id="rId331" Type="http://schemas.openxmlformats.org/officeDocument/2006/relationships/hyperlink" Target="https://www.myntra.com/tshirts/roadster/roadster-women-pack-of-2-printed-t-shirt/17381768/buy" TargetMode="External"/><Relationship Id="rId429" Type="http://schemas.openxmlformats.org/officeDocument/2006/relationships/hyperlink" Target="https://www.myntra.com/jeans/roadster/roadster-men-blue-skinny-fit-mid-rise-mildly-distressed-stretchable-jeans/11274626/buy" TargetMode="External"/><Relationship Id="rId636" Type="http://schemas.openxmlformats.org/officeDocument/2006/relationships/hyperlink" Target="https://www.myntra.com/jackets/tokyo-talkies/tokyo-talkies-women-blue-solid-pure-cotton-denim-jacket/10437832/buy" TargetMode="External"/><Relationship Id="rId843" Type="http://schemas.openxmlformats.org/officeDocument/2006/relationships/hyperlink" Target="https://www.myntra.com/kurtas/herenow/herenow-women-green--navy-blue-floral-print-straight-kurta/12524814/buy" TargetMode="External"/><Relationship Id="rId275" Type="http://schemas.openxmlformats.org/officeDocument/2006/relationships/hyperlink" Target="https://www.myntra.com/trunk/levis/levis-men-navy-solid-pure-cotton--trunks-001-boxer-brief/12032616/buy" TargetMode="External"/><Relationship Id="rId482" Type="http://schemas.openxmlformats.org/officeDocument/2006/relationships/hyperlink" Target="https://www.myntra.com/kurta-sets/sangria/sangria-women-teal-green--golden-zari-embroidered-angrakha-kurta-palazzo-dupatta-set/12104526/buy" TargetMode="External"/><Relationship Id="rId703" Type="http://schemas.openxmlformats.org/officeDocument/2006/relationships/hyperlink" Target="https://www.myntra.com/shirts/invictus/invictus-men-white--blue-slim-fit-horizontal-stripes-casual-shirt/2031938/buy" TargetMode="External"/><Relationship Id="rId910" Type="http://schemas.openxmlformats.org/officeDocument/2006/relationships/hyperlink" Target="https://www.myntra.com/tshirts/hrx-by-hrithik-roshan/hrx-by-hrithik-roshan-men-red-printed-round-neck-athleisure-pure-cotton-t-shirt/6825457/buy" TargetMode="External"/><Relationship Id="rId135" Type="http://schemas.openxmlformats.org/officeDocument/2006/relationships/hyperlink" Target="https://www.myntra.com/tights/hrx-by-hrithik-roshan/hrx-by-hrithik-roshan-women-blue-printed-rapid-dry-seamless-running-tights/8475747/buy" TargetMode="External"/><Relationship Id="rId342" Type="http://schemas.openxmlformats.org/officeDocument/2006/relationships/hyperlink" Target="https://www.myntra.com/tops/mast--harbour/mast--harbour-women-yellow-solid-top/8325255/buy" TargetMode="External"/><Relationship Id="rId787" Type="http://schemas.openxmlformats.org/officeDocument/2006/relationships/hyperlink" Target="https://www.myntra.com/shirts/wrogn/wrogn-men-green-slim-fit-solid-casual-shirt/11361672/buy" TargetMode="External"/><Relationship Id="rId994" Type="http://schemas.openxmlformats.org/officeDocument/2006/relationships/hyperlink" Target="https://www.myntra.com/kurtas/vishudh/vishudh-women-turquoise-blue-printed-a-line-kurta/11862362/buy" TargetMode="External"/><Relationship Id="rId202" Type="http://schemas.openxmlformats.org/officeDocument/2006/relationships/hyperlink" Target="https://www.myntra.com/jeans/locomotive/locomotive-men-black-skinny-fit-mid-rise-clean-look-stretchable-jeans/9838337/buy" TargetMode="External"/><Relationship Id="rId647" Type="http://schemas.openxmlformats.org/officeDocument/2006/relationships/hyperlink" Target="https://www.myntra.com/shirts/wrogn/wrogn-men-rust-orange--navy-blue-slim-fit-checked-casual-shirt/10187629/buy" TargetMode="External"/><Relationship Id="rId854" Type="http://schemas.openxmlformats.org/officeDocument/2006/relationships/hyperlink" Target="https://www.myntra.com/shirts/roadster/roadster-men-olive-brown-cotton-sustainable-casual-shirt/11903984/buy" TargetMode="External"/><Relationship Id="rId286" Type="http://schemas.openxmlformats.org/officeDocument/2006/relationships/hyperlink" Target="https://www.myntra.com/dresses/mayra/mayra-women-pink-candy-striped-maxi-dress/11011466/buy" TargetMode="External"/><Relationship Id="rId493" Type="http://schemas.openxmlformats.org/officeDocument/2006/relationships/hyperlink" Target="https://www.myntra.com/tshirts/mast--harbour/mast--harbour-women-pack-of-2-t-shirts/17524574/buy" TargetMode="External"/><Relationship Id="rId507" Type="http://schemas.openxmlformats.org/officeDocument/2006/relationships/hyperlink" Target="https://www.myntra.com/tops/scorpius/scorpius-women-pack-of-2-solid-crop-pure-cotton-tops/9340383/buy" TargetMode="External"/><Relationship Id="rId714" Type="http://schemas.openxmlformats.org/officeDocument/2006/relationships/hyperlink" Target="https://www.myntra.com/tshirts/moda-rapido/moda-rapido-men-white--black-striped-round-neck-t-shirt/2221364/buy" TargetMode="External"/><Relationship Id="rId921" Type="http://schemas.openxmlformats.org/officeDocument/2006/relationships/hyperlink" Target="https://www.myntra.com/shirts/roadster/roadster-men-grey-typography-printed-pure-cotton-casual-sustainable-shirt/10944710/buy" TargetMode="External"/><Relationship Id="rId50" Type="http://schemas.openxmlformats.org/officeDocument/2006/relationships/hyperlink" Target="https://www.myntra.com/tshirts/moda-rapido/moda-rapido-men-olive-green-printed-round-neck-pure-cotton-t-shirt/10266495/buy" TargetMode="External"/><Relationship Id="rId146" Type="http://schemas.openxmlformats.org/officeDocument/2006/relationships/hyperlink" Target="https://www.myntra.com/tops/sangria/sangria-navy-blue-tie-dye-blouson-top/8860565/buy" TargetMode="External"/><Relationship Id="rId353" Type="http://schemas.openxmlformats.org/officeDocument/2006/relationships/hyperlink" Target="https://www.myntra.com/trunk/jockey/jockey-international-collection-men-grey-solid-trunks-ic25/11444888/buy" TargetMode="External"/><Relationship Id="rId560" Type="http://schemas.openxmlformats.org/officeDocument/2006/relationships/hyperlink" Target="https://www.myntra.com/tshirts/roadster/roadster-women-pack-of-2-pure-cotton-colourblocked-t-shirts/17384212/buy" TargetMode="External"/><Relationship Id="rId798" Type="http://schemas.openxmlformats.org/officeDocument/2006/relationships/hyperlink" Target="https://www.myntra.com/shorts/hrx-by-hrithik-roshan/hrx-by-hrithik-roshan-men-black-solid-rapid-dry-running-shorts/12212318/buy" TargetMode="External"/><Relationship Id="rId213" Type="http://schemas.openxmlformats.org/officeDocument/2006/relationships/hyperlink" Target="https://www.myntra.com/kurtas/herenow/herenow-women-lime-green--blue-printed-straight-kurta/12851400/buy" TargetMode="External"/><Relationship Id="rId420" Type="http://schemas.openxmlformats.org/officeDocument/2006/relationships/hyperlink" Target="https://www.myntra.com/kurta-sets/vishudh/vishudh-women-navy-blue--pink-printed-kurta-with-palazzos/11938226/buy" TargetMode="External"/><Relationship Id="rId658" Type="http://schemas.openxmlformats.org/officeDocument/2006/relationships/hyperlink" Target="https://www.myntra.com/kurta-sets/ishin/ishin-women-teal-blue-embroidered-kurta-with-sharara--dupatta/13817718/buy" TargetMode="External"/><Relationship Id="rId865" Type="http://schemas.openxmlformats.org/officeDocument/2006/relationships/hyperlink" Target="https://www.myntra.com/bra/dressberry/dressberry-maroon-solid-non-wired-non-padded-everyday-bra-db-wond-bra-006a/10939832/buy" TargetMode="External"/><Relationship Id="rId297" Type="http://schemas.openxmlformats.org/officeDocument/2006/relationships/hyperlink" Target="https://www.myntra.com/dresses/uf/uf-black--pink-floral-print-maxi-dress/12762116/buy" TargetMode="External"/><Relationship Id="rId518" Type="http://schemas.openxmlformats.org/officeDocument/2006/relationships/hyperlink" Target="https://www.myntra.com/track-pants/hrx-by-hrithik-roshan/hrx-by-hrithik-roshan-men-black-solid-regular-fit-rapid-dry-cricket-track-pants/11640816/buy" TargetMode="External"/><Relationship Id="rId725" Type="http://schemas.openxmlformats.org/officeDocument/2006/relationships/hyperlink" Target="https://www.myntra.com/briefs/enamor/enamor-women-pack-of-3-assorted-mid-waist-hipster-cotton-briefs-cr02/2295683/buy" TargetMode="External"/><Relationship Id="rId932" Type="http://schemas.openxmlformats.org/officeDocument/2006/relationships/hyperlink" Target="https://www.myntra.com/kurtas/sangria/sangria-women-white--navy-blue-printed-straight-kurta/11174228/buy" TargetMode="External"/><Relationship Id="rId157" Type="http://schemas.openxmlformats.org/officeDocument/2006/relationships/hyperlink" Target="https://www.myntra.com/shapewear/zivame/zivame-beige-mermaid-saree-shapewear-zi3022core0nude/7340681/buy" TargetMode="External"/><Relationship Id="rId364" Type="http://schemas.openxmlformats.org/officeDocument/2006/relationships/hyperlink" Target="https://www.myntra.com/lounge-pants/vimal/vimal-men-set-of-2-black-and-navy-blue-solid-lounge-pants/12708354/buy" TargetMode="External"/><Relationship Id="rId61" Type="http://schemas.openxmlformats.org/officeDocument/2006/relationships/hyperlink" Target="https://www.myntra.com/kurtas/anayna/anayna-women-beige--pink-screen-print-straight-kurta/11530828/buy" TargetMode="External"/><Relationship Id="rId571" Type="http://schemas.openxmlformats.org/officeDocument/2006/relationships/hyperlink" Target="https://www.myntra.com/jeggings/roadster/roadster-women-blue-stretchable-jeggings/2367846/buy" TargetMode="External"/><Relationship Id="rId669" Type="http://schemas.openxmlformats.org/officeDocument/2006/relationships/hyperlink" Target="https://www.myntra.com/tshirts/roadster/roadster-women-pink--blue-printed-round-neck-pure-cotton-t-shirt/9740079/buy" TargetMode="External"/><Relationship Id="rId876" Type="http://schemas.openxmlformats.org/officeDocument/2006/relationships/hyperlink" Target="https://www.myntra.com/tshirts/roadster/roadster-women-dusty-pink-pack-of-2-typography-print-round-neck-t-shirts/17383590/buy" TargetMode="External"/><Relationship Id="rId19" Type="http://schemas.openxmlformats.org/officeDocument/2006/relationships/hyperlink" Target="https://www.myntra.com/trousers/tokyo-talkies/tokyo-talkies-women-olive-green-regular-fit-solid-cargos/12391750/buy" TargetMode="External"/><Relationship Id="rId224" Type="http://schemas.openxmlformats.org/officeDocument/2006/relationships/hyperlink" Target="https://www.myntra.com/dresses/sassafras/sassafras-off-white--green-floral-printed-a-line-dress/8643125/buy" TargetMode="External"/><Relationship Id="rId431" Type="http://schemas.openxmlformats.org/officeDocument/2006/relationships/hyperlink" Target="https://www.myntra.com/tshirts/dillinger/dillinger-women-teal-blue-printed-oversized-cotton-pure-cotton-t-shirt/12029628/buy" TargetMode="External"/><Relationship Id="rId529" Type="http://schemas.openxmlformats.org/officeDocument/2006/relationships/hyperlink" Target="https://www.myntra.com/jeans/mast--harbour/mast--harbour-men-white-slim-fit-mid-rise-clean-look-stretchable-jeans/2485350/buy" TargetMode="External"/><Relationship Id="rId736" Type="http://schemas.openxmlformats.org/officeDocument/2006/relationships/hyperlink" Target="https://www.myntra.com/tshirts/roadster/roadster-women-lavender-solid-round-neck-pure-cotton-t-shirt-with-printed-detailing/10968524/buy" TargetMode="External"/><Relationship Id="rId168" Type="http://schemas.openxmlformats.org/officeDocument/2006/relationships/hyperlink" Target="https://www.myntra.com/tights/hrx-by-hrithik-roshan/hrx-by-hrithik-roshan-women-navy-blue-yoga-seamless-solid-tights/10106159/buy" TargetMode="External"/><Relationship Id="rId943" Type="http://schemas.openxmlformats.org/officeDocument/2006/relationships/hyperlink" Target="https://www.myntra.com/tshirts/ether/ether-women-blue-solid-round-neck-t-shirt/1270768/buy" TargetMode="External"/><Relationship Id="rId72" Type="http://schemas.openxmlformats.org/officeDocument/2006/relationships/hyperlink" Target="https://www.myntra.com/kurtas/sangria/sangria-women-green--yellow-printed-straight-kurta/8350425/buy" TargetMode="External"/><Relationship Id="rId375" Type="http://schemas.openxmlformats.org/officeDocument/2006/relationships/hyperlink" Target="https://www.myntra.com/trousers/highlander/highlander-men-grey-slim-fit-trousers/8106703/buy" TargetMode="External"/><Relationship Id="rId582" Type="http://schemas.openxmlformats.org/officeDocument/2006/relationships/hyperlink" Target="https://www.myntra.com/sarees/saree-mall/saree-mall-charcoal-grey-embelished-detail-lace-saree/10264741/buy" TargetMode="External"/><Relationship Id="rId803" Type="http://schemas.openxmlformats.org/officeDocument/2006/relationships/hyperlink" Target="https://www.myntra.com/shirts/invictus/invictus-white-slim-fit-formal-shirt/1271542/buy" TargetMode="External"/><Relationship Id="rId3" Type="http://schemas.openxmlformats.org/officeDocument/2006/relationships/hyperlink" Target="https://www.myntra.com/shirts/roadster/roadster-men-navy-white--black-geometric-printed-sustainable-casual-shirt/11895958/buy" TargetMode="External"/><Relationship Id="rId235" Type="http://schemas.openxmlformats.org/officeDocument/2006/relationships/hyperlink" Target="https://www.myntra.com/jeans/purple-feather/purple-feather-women-blue-skinny-fit-high-rise-clean-look-jeans/6722273/buy" TargetMode="External"/><Relationship Id="rId442" Type="http://schemas.openxmlformats.org/officeDocument/2006/relationships/hyperlink" Target="https://www.myntra.com/shapewear/laceandme/laceandme-women-nude-coloured-solid-shaper-briefs-9813/12069880/buy" TargetMode="External"/><Relationship Id="rId887" Type="http://schemas.openxmlformats.org/officeDocument/2006/relationships/hyperlink" Target="https://www.myntra.com/jackets/herenow/herenow-women-grey-solid-cropped-denim-jacket/10300853/buy" TargetMode="External"/><Relationship Id="rId302" Type="http://schemas.openxmlformats.org/officeDocument/2006/relationships/hyperlink" Target="https://www.myntra.com/tops/tokyo-talkies/tokyo-talkies-women-black-printed-blouson-top/13453596/buy" TargetMode="External"/><Relationship Id="rId747" Type="http://schemas.openxmlformats.org/officeDocument/2006/relationships/hyperlink" Target="https://www.myntra.com/tshirts/herenow/herenow-men-mustard-yellow-printed-round-neck-pure-cotton-t-shirt/7088221/buy" TargetMode="External"/><Relationship Id="rId954" Type="http://schemas.openxmlformats.org/officeDocument/2006/relationships/hyperlink" Target="https://www.myntra.com/kurtas/varanga/varanga-women-turquoise-blue-geometric-striped-thread-work-georgette-kurta/14489524/b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topLeftCell="A3" workbookViewId="0">
      <selection activeCell="B6" sqref="B6"/>
    </sheetView>
  </sheetViews>
  <sheetFormatPr defaultRowHeight="14.5" x14ac:dyDescent="0.35"/>
  <cols>
    <col min="1" max="1" width="42" customWidth="1"/>
    <col min="2" max="2" width="65" customWidth="1"/>
    <col min="3" max="3" width="35" customWidth="1"/>
  </cols>
  <sheetData>
    <row r="1" spans="1:3" ht="29" x14ac:dyDescent="0.35">
      <c r="A1" s="1" t="s">
        <v>0</v>
      </c>
      <c r="B1" s="1"/>
      <c r="C1" s="1"/>
    </row>
    <row r="2" spans="1:3" x14ac:dyDescent="0.35">
      <c r="A2" s="2" t="s">
        <v>1</v>
      </c>
      <c r="B2" s="2" t="s">
        <v>2</v>
      </c>
      <c r="C2" s="2" t="s">
        <v>3</v>
      </c>
    </row>
    <row r="3" spans="1:3" x14ac:dyDescent="0.35">
      <c r="A3" s="2" t="s">
        <v>4</v>
      </c>
      <c r="B3" s="2">
        <v>526564</v>
      </c>
      <c r="C3" s="2" t="s">
        <v>5</v>
      </c>
    </row>
    <row r="4" spans="1:3" x14ac:dyDescent="0.35">
      <c r="A4" s="2" t="s">
        <v>6</v>
      </c>
      <c r="B4" s="2">
        <v>16</v>
      </c>
      <c r="C4" s="2" t="s">
        <v>7</v>
      </c>
    </row>
    <row r="5" spans="1:3" x14ac:dyDescent="0.35">
      <c r="A5" s="2" t="s">
        <v>8</v>
      </c>
      <c r="B5" s="2">
        <v>0</v>
      </c>
      <c r="C5" s="2" t="s">
        <v>9</v>
      </c>
    </row>
    <row r="6" spans="1:3" x14ac:dyDescent="0.35">
      <c r="A6" s="2" t="s">
        <v>10</v>
      </c>
      <c r="B6" s="2" t="s">
        <v>128</v>
      </c>
      <c r="C6" s="2" t="s">
        <v>11</v>
      </c>
    </row>
    <row r="7" spans="1:3" x14ac:dyDescent="0.35">
      <c r="A7" s="2" t="s">
        <v>12</v>
      </c>
      <c r="B7" s="2">
        <v>74122</v>
      </c>
      <c r="C7" s="2" t="s">
        <v>9</v>
      </c>
    </row>
    <row r="8" spans="1:3" x14ac:dyDescent="0.35">
      <c r="A8" s="2" t="s">
        <v>13</v>
      </c>
      <c r="B8" s="2">
        <v>0</v>
      </c>
      <c r="C8" s="2" t="s">
        <v>9</v>
      </c>
    </row>
    <row r="9" spans="1:3" x14ac:dyDescent="0.35">
      <c r="A9" s="2" t="s">
        <v>14</v>
      </c>
      <c r="B9" s="2">
        <v>1966.66747321916</v>
      </c>
      <c r="C9" s="2" t="s">
        <v>15</v>
      </c>
    </row>
    <row r="10" spans="1:3" x14ac:dyDescent="0.35">
      <c r="A10" s="2" t="s">
        <v>16</v>
      </c>
      <c r="B10" s="2">
        <v>218489</v>
      </c>
      <c r="C10" s="2" t="s">
        <v>9</v>
      </c>
    </row>
    <row r="11" spans="1:3" x14ac:dyDescent="0.35">
      <c r="A11" s="2" t="s">
        <v>17</v>
      </c>
      <c r="B11" s="2">
        <v>308449</v>
      </c>
      <c r="C11" s="2" t="s">
        <v>9</v>
      </c>
    </row>
    <row r="12" spans="1:3" x14ac:dyDescent="0.35">
      <c r="A12" s="2" t="s">
        <v>18</v>
      </c>
      <c r="B12" s="2">
        <v>218489</v>
      </c>
      <c r="C12" s="2" t="s">
        <v>11</v>
      </c>
    </row>
    <row r="13" spans="1:3" x14ac:dyDescent="0.35">
      <c r="A13" s="2" t="s">
        <v>19</v>
      </c>
      <c r="B13" s="2">
        <v>308075</v>
      </c>
      <c r="C13" s="2" t="s">
        <v>11</v>
      </c>
    </row>
    <row r="14" spans="1:3" x14ac:dyDescent="0.35">
      <c r="A14" s="2" t="s">
        <v>20</v>
      </c>
      <c r="B14" s="2" t="s">
        <v>21</v>
      </c>
      <c r="C14" s="2" t="s">
        <v>11</v>
      </c>
    </row>
    <row r="15" spans="1:3" x14ac:dyDescent="0.35">
      <c r="A15" s="2" t="s">
        <v>22</v>
      </c>
      <c r="B15" s="2" t="s">
        <v>23</v>
      </c>
      <c r="C15" s="2" t="s">
        <v>11</v>
      </c>
    </row>
    <row r="16" spans="1:3" x14ac:dyDescent="0.35">
      <c r="A16" s="2" t="s">
        <v>24</v>
      </c>
      <c r="B16" s="2" t="s">
        <v>25</v>
      </c>
      <c r="C16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8BA8-5E18-4D40-9F88-6009B81478E4}">
  <dimension ref="A1:S1001"/>
  <sheetViews>
    <sheetView zoomScaleNormal="100" workbookViewId="0">
      <pane xSplit="1" topLeftCell="B1" activePane="topRight" state="frozen"/>
      <selection pane="topRight" activeCell="R996" sqref="R996"/>
    </sheetView>
  </sheetViews>
  <sheetFormatPr defaultRowHeight="14.5" x14ac:dyDescent="0.35"/>
  <cols>
    <col min="1" max="5" width="22.7265625" customWidth="1"/>
    <col min="6" max="6" width="63.54296875" customWidth="1"/>
    <col min="7" max="12" width="22.7265625" customWidth="1"/>
    <col min="13" max="13" width="26.54296875" customWidth="1"/>
    <col min="14" max="14" width="26.7265625" customWidth="1"/>
    <col min="15" max="18" width="22.7265625" customWidth="1"/>
    <col min="19" max="19" width="117" customWidth="1"/>
  </cols>
  <sheetData>
    <row r="1" spans="1:19" ht="29" x14ac:dyDescent="0.35">
      <c r="A1" s="8" t="s">
        <v>2417</v>
      </c>
      <c r="B1" s="9" t="s">
        <v>63</v>
      </c>
      <c r="C1" s="9" t="s">
        <v>74</v>
      </c>
      <c r="D1" s="9" t="s">
        <v>76</v>
      </c>
      <c r="E1" s="9" t="s">
        <v>2416</v>
      </c>
      <c r="F1" s="9" t="s">
        <v>2415</v>
      </c>
      <c r="G1" s="9" t="s">
        <v>2414</v>
      </c>
      <c r="H1" s="9" t="s">
        <v>2413</v>
      </c>
      <c r="I1" s="9" t="s">
        <v>2412</v>
      </c>
      <c r="J1" s="9" t="s">
        <v>2411</v>
      </c>
      <c r="K1" s="9" t="s">
        <v>2410</v>
      </c>
      <c r="L1" s="9" t="s">
        <v>2409</v>
      </c>
      <c r="M1" s="9" t="s">
        <v>2408</v>
      </c>
      <c r="N1" s="9" t="s">
        <v>2407</v>
      </c>
      <c r="O1" s="9" t="s">
        <v>2406</v>
      </c>
      <c r="P1" s="9" t="s">
        <v>2405</v>
      </c>
      <c r="Q1" s="9" t="s">
        <v>2404</v>
      </c>
      <c r="R1" s="9" t="s">
        <v>2403</v>
      </c>
      <c r="S1" s="10" t="s">
        <v>2418</v>
      </c>
    </row>
    <row r="2" spans="1:19" x14ac:dyDescent="0.35">
      <c r="A2" s="6">
        <v>2296012</v>
      </c>
      <c r="B2" s="5" t="s">
        <v>250</v>
      </c>
      <c r="C2" s="5" t="s">
        <v>189</v>
      </c>
      <c r="D2" s="5" t="s">
        <v>162</v>
      </c>
      <c r="E2" s="5" t="s">
        <v>140</v>
      </c>
      <c r="F2" s="5" t="s">
        <v>2401</v>
      </c>
      <c r="G2" s="5">
        <v>824</v>
      </c>
      <c r="H2" s="5">
        <v>1499</v>
      </c>
      <c r="I2" s="5" t="s">
        <v>36</v>
      </c>
      <c r="J2" s="5" t="s">
        <v>408</v>
      </c>
      <c r="K2" s="5">
        <v>3.9</v>
      </c>
      <c r="L2" s="5">
        <v>999</v>
      </c>
      <c r="M2" s="5">
        <v>0.45</v>
      </c>
      <c r="N2" s="5">
        <v>1351.2078667815099</v>
      </c>
      <c r="O2" s="5">
        <v>824</v>
      </c>
      <c r="P2" s="5" t="s">
        <v>408</v>
      </c>
      <c r="Q2" s="5" t="s">
        <v>57</v>
      </c>
      <c r="R2" s="5" t="s">
        <v>129</v>
      </c>
      <c r="S2" s="7" t="s">
        <v>2402</v>
      </c>
    </row>
    <row r="3" spans="1:19" x14ac:dyDescent="0.35">
      <c r="A3" s="6">
        <v>13780156</v>
      </c>
      <c r="B3" s="5" t="s">
        <v>148</v>
      </c>
      <c r="C3" s="5" t="s">
        <v>189</v>
      </c>
      <c r="D3" s="5" t="s">
        <v>199</v>
      </c>
      <c r="E3" s="5" t="s">
        <v>140</v>
      </c>
      <c r="F3" s="5" t="s">
        <v>2399</v>
      </c>
      <c r="G3" s="5">
        <v>517</v>
      </c>
      <c r="H3" s="5">
        <v>1149</v>
      </c>
      <c r="I3" s="5" t="s">
        <v>178</v>
      </c>
      <c r="J3" s="5" t="s">
        <v>212</v>
      </c>
      <c r="K3" s="5">
        <v>4</v>
      </c>
      <c r="L3" s="5">
        <v>999</v>
      </c>
      <c r="M3" s="5">
        <v>0.55000000000000004</v>
      </c>
      <c r="N3" s="5">
        <v>1351.2078667815099</v>
      </c>
      <c r="O3" s="5">
        <v>517</v>
      </c>
      <c r="P3" s="5" t="s">
        <v>212</v>
      </c>
      <c r="Q3" s="5" t="s">
        <v>55</v>
      </c>
      <c r="R3" s="5" t="s">
        <v>129</v>
      </c>
      <c r="S3" s="7" t="s">
        <v>2400</v>
      </c>
    </row>
    <row r="4" spans="1:19" x14ac:dyDescent="0.35">
      <c r="A4" s="6">
        <v>11895958</v>
      </c>
      <c r="B4" s="5" t="s">
        <v>250</v>
      </c>
      <c r="C4" s="5" t="s">
        <v>142</v>
      </c>
      <c r="D4" s="5" t="s">
        <v>141</v>
      </c>
      <c r="E4" s="5" t="s">
        <v>140</v>
      </c>
      <c r="F4" s="5" t="s">
        <v>2397</v>
      </c>
      <c r="G4" s="5">
        <v>629</v>
      </c>
      <c r="H4" s="5">
        <v>1399</v>
      </c>
      <c r="I4" s="5" t="s">
        <v>178</v>
      </c>
      <c r="J4" s="5" t="s">
        <v>276</v>
      </c>
      <c r="K4" s="5">
        <v>4.3</v>
      </c>
      <c r="L4" s="5">
        <v>999</v>
      </c>
      <c r="M4" s="5">
        <v>0.55000000000000004</v>
      </c>
      <c r="N4" s="5">
        <v>1138.6340612208289</v>
      </c>
      <c r="O4" s="5">
        <v>629</v>
      </c>
      <c r="P4" s="5" t="s">
        <v>276</v>
      </c>
      <c r="Q4" s="5" t="s">
        <v>55</v>
      </c>
      <c r="R4" s="5" t="s">
        <v>129</v>
      </c>
      <c r="S4" s="7" t="s">
        <v>2398</v>
      </c>
    </row>
    <row r="5" spans="1:19" x14ac:dyDescent="0.35">
      <c r="A5" s="6">
        <v>4335679</v>
      </c>
      <c r="B5" s="5" t="s">
        <v>329</v>
      </c>
      <c r="C5" s="5" t="s">
        <v>273</v>
      </c>
      <c r="D5" s="5" t="s">
        <v>1496</v>
      </c>
      <c r="E5" s="5" t="s">
        <v>133</v>
      </c>
      <c r="F5" s="5" t="s">
        <v>2395</v>
      </c>
      <c r="G5" s="5">
        <v>893</v>
      </c>
      <c r="H5" s="5">
        <v>1295</v>
      </c>
      <c r="I5" s="5" t="s">
        <v>2087</v>
      </c>
      <c r="J5" s="5" t="s">
        <v>150</v>
      </c>
      <c r="K5" s="5">
        <v>4.2</v>
      </c>
      <c r="L5" s="5">
        <v>999</v>
      </c>
      <c r="M5" s="5">
        <v>0.31</v>
      </c>
      <c r="N5" s="5">
        <v>811.90284167198604</v>
      </c>
      <c r="O5" s="5">
        <v>893</v>
      </c>
      <c r="P5" s="5" t="s">
        <v>150</v>
      </c>
      <c r="Q5" s="5" t="s">
        <v>57</v>
      </c>
      <c r="R5" s="5" t="s">
        <v>129</v>
      </c>
      <c r="S5" s="7" t="s">
        <v>2396</v>
      </c>
    </row>
    <row r="6" spans="1:19" x14ac:dyDescent="0.35">
      <c r="A6" s="6">
        <v>11690882</v>
      </c>
      <c r="B6" s="5" t="s">
        <v>250</v>
      </c>
      <c r="C6" s="5" t="s">
        <v>163</v>
      </c>
      <c r="D6" s="5" t="s">
        <v>77</v>
      </c>
      <c r="E6" s="5" t="s">
        <v>133</v>
      </c>
      <c r="F6" s="5" t="s">
        <v>2393</v>
      </c>
      <c r="G6" s="5"/>
      <c r="H6" s="5">
        <v>599</v>
      </c>
      <c r="I6" s="5" t="s">
        <v>205</v>
      </c>
      <c r="J6" s="5" t="s">
        <v>192</v>
      </c>
      <c r="K6" s="5">
        <v>4.2</v>
      </c>
      <c r="L6" s="5">
        <v>999</v>
      </c>
      <c r="M6" s="5">
        <v>0.35</v>
      </c>
      <c r="N6" s="5">
        <v>1790.0851063829789</v>
      </c>
      <c r="O6" s="5"/>
      <c r="P6" s="5" t="s">
        <v>192</v>
      </c>
      <c r="Q6" s="5" t="s">
        <v>57</v>
      </c>
      <c r="R6" s="5" t="s">
        <v>129</v>
      </c>
      <c r="S6" s="7" t="s">
        <v>2394</v>
      </c>
    </row>
    <row r="7" spans="1:19" x14ac:dyDescent="0.35">
      <c r="A7" s="6">
        <v>2490950</v>
      </c>
      <c r="B7" s="5" t="s">
        <v>225</v>
      </c>
      <c r="C7" s="5" t="s">
        <v>163</v>
      </c>
      <c r="D7" s="5" t="s">
        <v>194</v>
      </c>
      <c r="E7" s="5" t="s">
        <v>133</v>
      </c>
      <c r="F7" s="5" t="s">
        <v>2391</v>
      </c>
      <c r="G7" s="5"/>
      <c r="H7" s="5">
        <v>599</v>
      </c>
      <c r="I7" s="5" t="s">
        <v>131</v>
      </c>
      <c r="J7" s="5" t="s">
        <v>192</v>
      </c>
      <c r="K7" s="5">
        <v>4.4000000000000004</v>
      </c>
      <c r="L7" s="5">
        <v>999</v>
      </c>
      <c r="M7" s="5">
        <v>0.4</v>
      </c>
      <c r="N7" s="5">
        <v>1790.0851063829789</v>
      </c>
      <c r="O7" s="5"/>
      <c r="P7" s="5" t="s">
        <v>192</v>
      </c>
      <c r="Q7" s="5" t="s">
        <v>57</v>
      </c>
      <c r="R7" s="5" t="s">
        <v>129</v>
      </c>
      <c r="S7" s="7" t="s">
        <v>2392</v>
      </c>
    </row>
    <row r="8" spans="1:19" x14ac:dyDescent="0.35">
      <c r="A8" s="6">
        <v>6744434</v>
      </c>
      <c r="B8" s="5" t="s">
        <v>190</v>
      </c>
      <c r="C8" s="5" t="s">
        <v>189</v>
      </c>
      <c r="D8" s="5" t="s">
        <v>188</v>
      </c>
      <c r="E8" s="5" t="s">
        <v>140</v>
      </c>
      <c r="F8" s="5" t="s">
        <v>2389</v>
      </c>
      <c r="G8" s="5">
        <v>599</v>
      </c>
      <c r="H8" s="5">
        <v>1499</v>
      </c>
      <c r="I8" s="5" t="s">
        <v>223</v>
      </c>
      <c r="J8" s="5" t="s">
        <v>185</v>
      </c>
      <c r="K8" s="5">
        <v>3.9</v>
      </c>
      <c r="L8" s="5">
        <v>998</v>
      </c>
      <c r="M8" s="5">
        <v>0.6</v>
      </c>
      <c r="N8" s="5">
        <v>1351.2078667815099</v>
      </c>
      <c r="O8" s="5">
        <v>599</v>
      </c>
      <c r="P8" s="5" t="s">
        <v>185</v>
      </c>
      <c r="Q8" s="5" t="s">
        <v>55</v>
      </c>
      <c r="R8" s="5" t="s">
        <v>129</v>
      </c>
      <c r="S8" s="7" t="s">
        <v>2390</v>
      </c>
    </row>
    <row r="9" spans="1:19" x14ac:dyDescent="0.35">
      <c r="A9" s="6">
        <v>8439415</v>
      </c>
      <c r="B9" s="5" t="s">
        <v>321</v>
      </c>
      <c r="C9" s="5" t="s">
        <v>163</v>
      </c>
      <c r="D9" s="5" t="s">
        <v>194</v>
      </c>
      <c r="E9" s="5" t="s">
        <v>133</v>
      </c>
      <c r="F9" s="5" t="s">
        <v>2387</v>
      </c>
      <c r="G9" s="5"/>
      <c r="H9" s="5">
        <v>1395</v>
      </c>
      <c r="I9" s="5" t="s">
        <v>319</v>
      </c>
      <c r="J9" s="5" t="s">
        <v>212</v>
      </c>
      <c r="K9" s="5">
        <v>3.7</v>
      </c>
      <c r="L9" s="5">
        <v>998</v>
      </c>
      <c r="M9" s="5">
        <v>0.57999999999999996</v>
      </c>
      <c r="N9" s="5">
        <v>1790.0851063829789</v>
      </c>
      <c r="O9" s="5"/>
      <c r="P9" s="5" t="s">
        <v>212</v>
      </c>
      <c r="Q9" s="5" t="s">
        <v>55</v>
      </c>
      <c r="R9" s="5" t="s">
        <v>129</v>
      </c>
      <c r="S9" s="7" t="s">
        <v>2388</v>
      </c>
    </row>
    <row r="10" spans="1:19" x14ac:dyDescent="0.35">
      <c r="A10" s="6">
        <v>17381394</v>
      </c>
      <c r="B10" s="5" t="s">
        <v>250</v>
      </c>
      <c r="C10" s="5" t="s">
        <v>163</v>
      </c>
      <c r="D10" s="5" t="s">
        <v>77</v>
      </c>
      <c r="E10" s="5" t="s">
        <v>133</v>
      </c>
      <c r="F10" s="5" t="s">
        <v>791</v>
      </c>
      <c r="G10" s="5"/>
      <c r="H10" s="5">
        <v>1098</v>
      </c>
      <c r="I10" s="5"/>
      <c r="J10" s="5" t="s">
        <v>192</v>
      </c>
      <c r="K10" s="5">
        <v>4.3</v>
      </c>
      <c r="L10" s="5">
        <v>997</v>
      </c>
      <c r="M10" s="5"/>
      <c r="N10" s="5">
        <v>1790.0851063829789</v>
      </c>
      <c r="O10" s="5">
        <v>1790.0851063829789</v>
      </c>
      <c r="P10" s="5" t="s">
        <v>192</v>
      </c>
      <c r="Q10" s="5" t="s">
        <v>57</v>
      </c>
      <c r="R10" s="5" t="s">
        <v>129</v>
      </c>
      <c r="S10" s="7" t="s">
        <v>2386</v>
      </c>
    </row>
    <row r="11" spans="1:19" x14ac:dyDescent="0.35">
      <c r="A11" s="6">
        <v>2359257</v>
      </c>
      <c r="B11" s="5" t="s">
        <v>143</v>
      </c>
      <c r="C11" s="5" t="s">
        <v>189</v>
      </c>
      <c r="D11" s="5" t="s">
        <v>162</v>
      </c>
      <c r="E11" s="5" t="s">
        <v>140</v>
      </c>
      <c r="F11" s="5" t="s">
        <v>2384</v>
      </c>
      <c r="G11" s="5"/>
      <c r="H11" s="5">
        <v>2749</v>
      </c>
      <c r="I11" s="5"/>
      <c r="J11" s="5" t="s">
        <v>408</v>
      </c>
      <c r="K11" s="5">
        <v>3.5</v>
      </c>
      <c r="L11" s="5">
        <v>996</v>
      </c>
      <c r="M11" s="5"/>
      <c r="N11" s="5">
        <v>1351.2078667815099</v>
      </c>
      <c r="O11" s="5">
        <v>1351.2078667815099</v>
      </c>
      <c r="P11" s="5" t="s">
        <v>408</v>
      </c>
      <c r="Q11" s="5" t="s">
        <v>57</v>
      </c>
      <c r="R11" s="5" t="s">
        <v>129</v>
      </c>
      <c r="S11" s="7" t="s">
        <v>2385</v>
      </c>
    </row>
    <row r="12" spans="1:19" x14ac:dyDescent="0.35">
      <c r="A12" s="6">
        <v>7695793</v>
      </c>
      <c r="B12" s="5" t="s">
        <v>152</v>
      </c>
      <c r="C12" s="5" t="s">
        <v>75</v>
      </c>
      <c r="D12" s="5" t="s">
        <v>568</v>
      </c>
      <c r="E12" s="5" t="s">
        <v>140</v>
      </c>
      <c r="F12" s="5" t="s">
        <v>2382</v>
      </c>
      <c r="G12" s="5">
        <v>1214</v>
      </c>
      <c r="H12" s="5">
        <v>2699</v>
      </c>
      <c r="I12" s="5" t="s">
        <v>178</v>
      </c>
      <c r="J12" s="5" t="s">
        <v>150</v>
      </c>
      <c r="K12" s="5">
        <v>4.4000000000000004</v>
      </c>
      <c r="L12" s="5">
        <v>996</v>
      </c>
      <c r="M12" s="5">
        <v>0.55000000000000004</v>
      </c>
      <c r="N12" s="5">
        <v>1097.3783736315199</v>
      </c>
      <c r="O12" s="5">
        <v>1214</v>
      </c>
      <c r="P12" s="5" t="s">
        <v>150</v>
      </c>
      <c r="Q12" s="5" t="s">
        <v>55</v>
      </c>
      <c r="R12" s="5" t="s">
        <v>129</v>
      </c>
      <c r="S12" s="7" t="s">
        <v>2383</v>
      </c>
    </row>
    <row r="13" spans="1:19" x14ac:dyDescent="0.35">
      <c r="A13" s="6">
        <v>10307375</v>
      </c>
      <c r="B13" s="5" t="s">
        <v>250</v>
      </c>
      <c r="C13" s="5" t="s">
        <v>142</v>
      </c>
      <c r="D13" s="5" t="s">
        <v>77</v>
      </c>
      <c r="E13" s="5" t="s">
        <v>140</v>
      </c>
      <c r="F13" s="5" t="s">
        <v>2380</v>
      </c>
      <c r="G13" s="5"/>
      <c r="H13" s="5">
        <v>699</v>
      </c>
      <c r="I13" s="5"/>
      <c r="J13" s="5" t="s">
        <v>458</v>
      </c>
      <c r="K13" s="5">
        <v>4.0999999999999996</v>
      </c>
      <c r="L13" s="5">
        <v>996</v>
      </c>
      <c r="M13" s="5"/>
      <c r="N13" s="5">
        <v>1138.6340612208289</v>
      </c>
      <c r="O13" s="5">
        <v>1138.6340612208289</v>
      </c>
      <c r="P13" s="5" t="s">
        <v>458</v>
      </c>
      <c r="Q13" s="5" t="s">
        <v>57</v>
      </c>
      <c r="R13" s="5" t="s">
        <v>129</v>
      </c>
      <c r="S13" s="7" t="s">
        <v>2381</v>
      </c>
    </row>
    <row r="14" spans="1:19" x14ac:dyDescent="0.35">
      <c r="A14" s="6">
        <v>12873874</v>
      </c>
      <c r="B14" s="5" t="s">
        <v>637</v>
      </c>
      <c r="C14" s="5" t="s">
        <v>135</v>
      </c>
      <c r="D14" s="5" t="s">
        <v>377</v>
      </c>
      <c r="E14" s="5" t="s">
        <v>133</v>
      </c>
      <c r="F14" s="5" t="s">
        <v>2378</v>
      </c>
      <c r="G14" s="5">
        <v>1019</v>
      </c>
      <c r="H14" s="5">
        <v>3399</v>
      </c>
      <c r="I14" s="5" t="s">
        <v>283</v>
      </c>
      <c r="J14" s="5" t="s">
        <v>150</v>
      </c>
      <c r="K14" s="5">
        <v>4.2</v>
      </c>
      <c r="L14" s="5">
        <v>996</v>
      </c>
      <c r="M14" s="5">
        <v>0.7</v>
      </c>
      <c r="N14" s="5">
        <v>1493.337491012077</v>
      </c>
      <c r="O14" s="5">
        <v>1019</v>
      </c>
      <c r="P14" s="5" t="s">
        <v>150</v>
      </c>
      <c r="Q14" s="5" t="s">
        <v>55</v>
      </c>
      <c r="R14" s="5" t="s">
        <v>129</v>
      </c>
      <c r="S14" s="7" t="s">
        <v>2379</v>
      </c>
    </row>
    <row r="15" spans="1:19" x14ac:dyDescent="0.35">
      <c r="A15" s="6">
        <v>11634538</v>
      </c>
      <c r="B15" s="5" t="s">
        <v>540</v>
      </c>
      <c r="C15" s="5" t="s">
        <v>163</v>
      </c>
      <c r="D15" s="5" t="s">
        <v>1677</v>
      </c>
      <c r="E15" s="5" t="s">
        <v>133</v>
      </c>
      <c r="F15" s="5" t="s">
        <v>2376</v>
      </c>
      <c r="G15" s="5"/>
      <c r="H15" s="5">
        <v>2499</v>
      </c>
      <c r="I15" s="5" t="s">
        <v>209</v>
      </c>
      <c r="J15" s="5" t="s">
        <v>192</v>
      </c>
      <c r="K15" s="5">
        <v>4.3</v>
      </c>
      <c r="L15" s="5">
        <v>996</v>
      </c>
      <c r="M15" s="5">
        <v>0.5</v>
      </c>
      <c r="N15" s="5">
        <v>1790.0851063829789</v>
      </c>
      <c r="O15" s="5"/>
      <c r="P15" s="5" t="s">
        <v>192</v>
      </c>
      <c r="Q15" s="5" t="s">
        <v>57</v>
      </c>
      <c r="R15" s="5" t="s">
        <v>129</v>
      </c>
      <c r="S15" s="7" t="s">
        <v>2377</v>
      </c>
    </row>
    <row r="16" spans="1:19" x14ac:dyDescent="0.35">
      <c r="A16" s="6">
        <v>2312181</v>
      </c>
      <c r="B16" s="5" t="s">
        <v>250</v>
      </c>
      <c r="C16" s="5" t="s">
        <v>163</v>
      </c>
      <c r="D16" s="5" t="s">
        <v>77</v>
      </c>
      <c r="E16" s="5" t="s">
        <v>133</v>
      </c>
      <c r="F16" s="5" t="s">
        <v>2374</v>
      </c>
      <c r="G16" s="5"/>
      <c r="H16" s="5">
        <v>799</v>
      </c>
      <c r="I16" s="5" t="s">
        <v>223</v>
      </c>
      <c r="J16" s="5" t="s">
        <v>192</v>
      </c>
      <c r="K16" s="5">
        <v>4</v>
      </c>
      <c r="L16" s="5">
        <v>996</v>
      </c>
      <c r="M16" s="5">
        <v>0.6</v>
      </c>
      <c r="N16" s="5">
        <v>1790.0851063829789</v>
      </c>
      <c r="O16" s="5"/>
      <c r="P16" s="5" t="s">
        <v>192</v>
      </c>
      <c r="Q16" s="5" t="s">
        <v>55</v>
      </c>
      <c r="R16" s="5" t="s">
        <v>129</v>
      </c>
      <c r="S16" s="7" t="s">
        <v>2375</v>
      </c>
    </row>
    <row r="17" spans="1:19" x14ac:dyDescent="0.35">
      <c r="A17" s="6">
        <v>13842386</v>
      </c>
      <c r="B17" s="5" t="s">
        <v>190</v>
      </c>
      <c r="C17" s="5" t="s">
        <v>142</v>
      </c>
      <c r="D17" s="5" t="s">
        <v>141</v>
      </c>
      <c r="E17" s="5" t="s">
        <v>140</v>
      </c>
      <c r="F17" s="5" t="s">
        <v>2372</v>
      </c>
      <c r="G17" s="5">
        <v>516</v>
      </c>
      <c r="H17" s="5">
        <v>1099</v>
      </c>
      <c r="I17" s="5" t="s">
        <v>381</v>
      </c>
      <c r="J17" s="5" t="s">
        <v>145</v>
      </c>
      <c r="K17" s="5">
        <v>4.2</v>
      </c>
      <c r="L17" s="5">
        <v>995</v>
      </c>
      <c r="M17" s="5">
        <v>0.53</v>
      </c>
      <c r="N17" s="5">
        <v>1138.6340612208289</v>
      </c>
      <c r="O17" s="5">
        <v>516</v>
      </c>
      <c r="P17" s="5" t="s">
        <v>145</v>
      </c>
      <c r="Q17" s="5" t="s">
        <v>55</v>
      </c>
      <c r="R17" s="5" t="s">
        <v>129</v>
      </c>
      <c r="S17" s="7" t="s">
        <v>2373</v>
      </c>
    </row>
    <row r="18" spans="1:19" x14ac:dyDescent="0.35">
      <c r="A18" s="6">
        <v>10473520</v>
      </c>
      <c r="B18" s="5" t="s">
        <v>169</v>
      </c>
      <c r="C18" s="5" t="s">
        <v>135</v>
      </c>
      <c r="D18" s="5" t="s">
        <v>168</v>
      </c>
      <c r="E18" s="5" t="s">
        <v>133</v>
      </c>
      <c r="F18" s="5" t="s">
        <v>2370</v>
      </c>
      <c r="G18" s="5">
        <v>696</v>
      </c>
      <c r="H18" s="5">
        <v>1699</v>
      </c>
      <c r="I18" s="5" t="s">
        <v>160</v>
      </c>
      <c r="J18" s="5" t="s">
        <v>150</v>
      </c>
      <c r="K18" s="5">
        <v>4.2</v>
      </c>
      <c r="L18" s="5">
        <v>995</v>
      </c>
      <c r="M18" s="5">
        <v>0.59</v>
      </c>
      <c r="N18" s="5">
        <v>1493.337491012077</v>
      </c>
      <c r="O18" s="5">
        <v>696</v>
      </c>
      <c r="P18" s="5" t="s">
        <v>150</v>
      </c>
      <c r="Q18" s="5" t="s">
        <v>55</v>
      </c>
      <c r="R18" s="5" t="s">
        <v>129</v>
      </c>
      <c r="S18" s="7" t="s">
        <v>2371</v>
      </c>
    </row>
    <row r="19" spans="1:19" x14ac:dyDescent="0.35">
      <c r="A19" s="6">
        <v>10561392</v>
      </c>
      <c r="B19" s="5" t="s">
        <v>180</v>
      </c>
      <c r="C19" s="5" t="s">
        <v>235</v>
      </c>
      <c r="D19" s="5" t="s">
        <v>377</v>
      </c>
      <c r="E19" s="5" t="s">
        <v>133</v>
      </c>
      <c r="F19" s="5" t="s">
        <v>2368</v>
      </c>
      <c r="G19" s="5"/>
      <c r="H19" s="5">
        <v>3999</v>
      </c>
      <c r="I19" s="5"/>
      <c r="J19" s="5" t="s">
        <v>177</v>
      </c>
      <c r="K19" s="5">
        <v>4.3</v>
      </c>
      <c r="L19" s="5">
        <v>995</v>
      </c>
      <c r="M19" s="5"/>
      <c r="N19" s="5">
        <v>923.69459774582197</v>
      </c>
      <c r="O19" s="5">
        <v>923.69459774582197</v>
      </c>
      <c r="P19" s="5" t="s">
        <v>177</v>
      </c>
      <c r="Q19" s="5" t="s">
        <v>57</v>
      </c>
      <c r="R19" s="5" t="s">
        <v>129</v>
      </c>
      <c r="S19" s="7" t="s">
        <v>2369</v>
      </c>
    </row>
    <row r="20" spans="1:19" x14ac:dyDescent="0.35">
      <c r="A20" s="6">
        <v>12391750</v>
      </c>
      <c r="B20" s="5" t="s">
        <v>164</v>
      </c>
      <c r="C20" s="5" t="s">
        <v>163</v>
      </c>
      <c r="D20" s="5" t="s">
        <v>188</v>
      </c>
      <c r="E20" s="5" t="s">
        <v>133</v>
      </c>
      <c r="F20" s="5" t="s">
        <v>2366</v>
      </c>
      <c r="G20" s="5"/>
      <c r="H20" s="5">
        <v>2149</v>
      </c>
      <c r="I20" s="5" t="s">
        <v>186</v>
      </c>
      <c r="J20" s="5" t="s">
        <v>159</v>
      </c>
      <c r="K20" s="5">
        <v>4.0999999999999996</v>
      </c>
      <c r="L20" s="5">
        <v>995</v>
      </c>
      <c r="M20" s="5">
        <v>0.61</v>
      </c>
      <c r="N20" s="5">
        <v>1790.0851063829789</v>
      </c>
      <c r="O20" s="5"/>
      <c r="P20" s="5" t="s">
        <v>159</v>
      </c>
      <c r="Q20" s="5" t="s">
        <v>55</v>
      </c>
      <c r="R20" s="5" t="s">
        <v>129</v>
      </c>
      <c r="S20" s="7" t="s">
        <v>2367</v>
      </c>
    </row>
    <row r="21" spans="1:19" x14ac:dyDescent="0.35">
      <c r="A21" s="6">
        <v>2522986</v>
      </c>
      <c r="B21" s="5" t="s">
        <v>200</v>
      </c>
      <c r="C21" s="5" t="s">
        <v>163</v>
      </c>
      <c r="D21" s="5" t="s">
        <v>77</v>
      </c>
      <c r="E21" s="5" t="s">
        <v>133</v>
      </c>
      <c r="F21" s="5" t="s">
        <v>2364</v>
      </c>
      <c r="G21" s="5"/>
      <c r="H21" s="5">
        <v>999</v>
      </c>
      <c r="I21" s="5" t="s">
        <v>310</v>
      </c>
      <c r="J21" s="5" t="s">
        <v>192</v>
      </c>
      <c r="K21" s="5">
        <v>4.3</v>
      </c>
      <c r="L21" s="5">
        <v>995</v>
      </c>
      <c r="M21" s="5">
        <v>0.75</v>
      </c>
      <c r="N21" s="5">
        <v>1790.0851063829789</v>
      </c>
      <c r="O21" s="5"/>
      <c r="P21" s="5" t="s">
        <v>192</v>
      </c>
      <c r="Q21" s="5" t="s">
        <v>55</v>
      </c>
      <c r="R21" s="5" t="s">
        <v>129</v>
      </c>
      <c r="S21" s="7" t="s">
        <v>2365</v>
      </c>
    </row>
    <row r="22" spans="1:19" x14ac:dyDescent="0.35">
      <c r="A22" s="6">
        <v>17385142</v>
      </c>
      <c r="B22" s="5" t="s">
        <v>250</v>
      </c>
      <c r="C22" s="5" t="s">
        <v>163</v>
      </c>
      <c r="D22" s="5" t="s">
        <v>77</v>
      </c>
      <c r="E22" s="5" t="s">
        <v>133</v>
      </c>
      <c r="F22" s="5" t="s">
        <v>288</v>
      </c>
      <c r="G22" s="5"/>
      <c r="H22" s="5">
        <v>1298</v>
      </c>
      <c r="I22" s="5"/>
      <c r="J22" s="5" t="s">
        <v>192</v>
      </c>
      <c r="K22" s="5">
        <v>4.4000000000000004</v>
      </c>
      <c r="L22" s="5">
        <v>994</v>
      </c>
      <c r="M22" s="5"/>
      <c r="N22" s="5">
        <v>1790.0851063829789</v>
      </c>
      <c r="O22" s="5">
        <v>1790.0851063829789</v>
      </c>
      <c r="P22" s="5" t="s">
        <v>192</v>
      </c>
      <c r="Q22" s="5" t="s">
        <v>57</v>
      </c>
      <c r="R22" s="5" t="s">
        <v>129</v>
      </c>
      <c r="S22" s="7" t="s">
        <v>2363</v>
      </c>
    </row>
    <row r="23" spans="1:19" x14ac:dyDescent="0.35">
      <c r="A23" s="6">
        <v>12153330</v>
      </c>
      <c r="B23" s="5" t="s">
        <v>460</v>
      </c>
      <c r="C23" s="5" t="s">
        <v>135</v>
      </c>
      <c r="D23" s="5" t="s">
        <v>168</v>
      </c>
      <c r="E23" s="5" t="s">
        <v>133</v>
      </c>
      <c r="F23" s="5" t="s">
        <v>2361</v>
      </c>
      <c r="G23" s="5">
        <v>719</v>
      </c>
      <c r="H23" s="5">
        <v>1599</v>
      </c>
      <c r="I23" s="5" t="s">
        <v>178</v>
      </c>
      <c r="J23" s="5" t="s">
        <v>196</v>
      </c>
      <c r="K23" s="5">
        <v>3.8</v>
      </c>
      <c r="L23" s="5">
        <v>993</v>
      </c>
      <c r="M23" s="5">
        <v>0.55000000000000004</v>
      </c>
      <c r="N23" s="5">
        <v>1493.337491012077</v>
      </c>
      <c r="O23" s="5">
        <v>719</v>
      </c>
      <c r="P23" s="5" t="s">
        <v>196</v>
      </c>
      <c r="Q23" s="5" t="s">
        <v>55</v>
      </c>
      <c r="R23" s="5" t="s">
        <v>129</v>
      </c>
      <c r="S23" s="7" t="s">
        <v>2362</v>
      </c>
    </row>
    <row r="24" spans="1:19" x14ac:dyDescent="0.35">
      <c r="A24" s="6">
        <v>1864573</v>
      </c>
      <c r="B24" s="5" t="s">
        <v>883</v>
      </c>
      <c r="C24" s="5" t="s">
        <v>273</v>
      </c>
      <c r="D24" s="5" t="s">
        <v>272</v>
      </c>
      <c r="E24" s="5" t="s">
        <v>133</v>
      </c>
      <c r="F24" s="5" t="s">
        <v>2359</v>
      </c>
      <c r="G24" s="5"/>
      <c r="H24" s="5">
        <v>849</v>
      </c>
      <c r="I24" s="5"/>
      <c r="J24" s="5" t="s">
        <v>212</v>
      </c>
      <c r="K24" s="5">
        <v>4.2</v>
      </c>
      <c r="L24" s="5">
        <v>993</v>
      </c>
      <c r="M24" s="5"/>
      <c r="N24" s="5">
        <v>811.90284167198604</v>
      </c>
      <c r="O24" s="5">
        <v>811.90284167198604</v>
      </c>
      <c r="P24" s="5" t="s">
        <v>212</v>
      </c>
      <c r="Q24" s="5" t="s">
        <v>57</v>
      </c>
      <c r="R24" s="5" t="s">
        <v>129</v>
      </c>
      <c r="S24" s="7" t="s">
        <v>2360</v>
      </c>
    </row>
    <row r="25" spans="1:19" x14ac:dyDescent="0.35">
      <c r="A25" s="6">
        <v>13205276</v>
      </c>
      <c r="B25" s="5" t="s">
        <v>365</v>
      </c>
      <c r="C25" s="5" t="s">
        <v>163</v>
      </c>
      <c r="D25" s="5" t="s">
        <v>141</v>
      </c>
      <c r="E25" s="5" t="s">
        <v>133</v>
      </c>
      <c r="F25" s="5" t="s">
        <v>2357</v>
      </c>
      <c r="G25" s="5"/>
      <c r="H25" s="5">
        <v>1499</v>
      </c>
      <c r="I25" s="5" t="s">
        <v>209</v>
      </c>
      <c r="J25" s="5" t="s">
        <v>192</v>
      </c>
      <c r="K25" s="5">
        <v>4.2</v>
      </c>
      <c r="L25" s="5">
        <v>993</v>
      </c>
      <c r="M25" s="5">
        <v>0.5</v>
      </c>
      <c r="N25" s="5">
        <v>1790.0851063829789</v>
      </c>
      <c r="O25" s="5"/>
      <c r="P25" s="5" t="s">
        <v>192</v>
      </c>
      <c r="Q25" s="5" t="s">
        <v>57</v>
      </c>
      <c r="R25" s="5" t="s">
        <v>129</v>
      </c>
      <c r="S25" s="7" t="s">
        <v>2358</v>
      </c>
    </row>
    <row r="26" spans="1:19" x14ac:dyDescent="0.35">
      <c r="A26" s="6">
        <v>11535928</v>
      </c>
      <c r="B26" s="5" t="s">
        <v>938</v>
      </c>
      <c r="C26" s="5" t="s">
        <v>163</v>
      </c>
      <c r="D26" s="5" t="s">
        <v>194</v>
      </c>
      <c r="E26" s="5" t="s">
        <v>133</v>
      </c>
      <c r="F26" s="5" t="s">
        <v>2355</v>
      </c>
      <c r="G26" s="5"/>
      <c r="H26" s="5">
        <v>1299</v>
      </c>
      <c r="I26" s="5" t="s">
        <v>230</v>
      </c>
      <c r="J26" s="5" t="s">
        <v>196</v>
      </c>
      <c r="K26" s="5">
        <v>4.3</v>
      </c>
      <c r="L26" s="5">
        <v>992</v>
      </c>
      <c r="M26" s="5">
        <v>0.62</v>
      </c>
      <c r="N26" s="5">
        <v>1790.0851063829789</v>
      </c>
      <c r="O26" s="5"/>
      <c r="P26" s="5" t="s">
        <v>196</v>
      </c>
      <c r="Q26" s="5" t="s">
        <v>55</v>
      </c>
      <c r="R26" s="5" t="s">
        <v>129</v>
      </c>
      <c r="S26" s="7" t="s">
        <v>2356</v>
      </c>
    </row>
    <row r="27" spans="1:19" x14ac:dyDescent="0.35">
      <c r="A27" s="6">
        <v>6552977</v>
      </c>
      <c r="B27" s="5" t="s">
        <v>819</v>
      </c>
      <c r="C27" s="5" t="s">
        <v>163</v>
      </c>
      <c r="D27" s="5" t="s">
        <v>194</v>
      </c>
      <c r="E27" s="5" t="s">
        <v>133</v>
      </c>
      <c r="F27" s="5" t="s">
        <v>2353</v>
      </c>
      <c r="G27" s="5"/>
      <c r="H27" s="5">
        <v>1299</v>
      </c>
      <c r="I27" s="5" t="s">
        <v>213</v>
      </c>
      <c r="J27" s="5" t="s">
        <v>212</v>
      </c>
      <c r="K27" s="5">
        <v>4.2</v>
      </c>
      <c r="L27" s="5">
        <v>991</v>
      </c>
      <c r="M27" s="5">
        <v>0.56999999999999995</v>
      </c>
      <c r="N27" s="5">
        <v>1790.0851063829789</v>
      </c>
      <c r="O27" s="5"/>
      <c r="P27" s="5" t="s">
        <v>212</v>
      </c>
      <c r="Q27" s="5" t="s">
        <v>55</v>
      </c>
      <c r="R27" s="5" t="s">
        <v>129</v>
      </c>
      <c r="S27" s="7" t="s">
        <v>2354</v>
      </c>
    </row>
    <row r="28" spans="1:19" x14ac:dyDescent="0.35">
      <c r="A28" s="6">
        <v>9476129</v>
      </c>
      <c r="B28" s="5" t="s">
        <v>2351</v>
      </c>
      <c r="C28" s="5" t="s">
        <v>163</v>
      </c>
      <c r="D28" s="5" t="s">
        <v>188</v>
      </c>
      <c r="E28" s="5" t="s">
        <v>133</v>
      </c>
      <c r="F28" s="5" t="s">
        <v>2350</v>
      </c>
      <c r="G28" s="5"/>
      <c r="H28" s="5">
        <v>2699</v>
      </c>
      <c r="I28" s="5" t="s">
        <v>283</v>
      </c>
      <c r="J28" s="5" t="s">
        <v>222</v>
      </c>
      <c r="K28" s="5">
        <v>4.0999999999999996</v>
      </c>
      <c r="L28" s="5">
        <v>991</v>
      </c>
      <c r="M28" s="5">
        <v>0.7</v>
      </c>
      <c r="N28" s="5">
        <v>1790.0851063829789</v>
      </c>
      <c r="O28" s="5"/>
      <c r="P28" s="5" t="s">
        <v>222</v>
      </c>
      <c r="Q28" s="5" t="s">
        <v>55</v>
      </c>
      <c r="R28" s="5" t="s">
        <v>129</v>
      </c>
      <c r="S28" s="7" t="s">
        <v>2352</v>
      </c>
    </row>
    <row r="29" spans="1:19" x14ac:dyDescent="0.35">
      <c r="A29" s="6">
        <v>2017530</v>
      </c>
      <c r="B29" s="5" t="s">
        <v>2348</v>
      </c>
      <c r="C29" s="5" t="s">
        <v>163</v>
      </c>
      <c r="D29" s="5" t="s">
        <v>418</v>
      </c>
      <c r="E29" s="5" t="s">
        <v>133</v>
      </c>
      <c r="F29" s="5" t="s">
        <v>2347</v>
      </c>
      <c r="G29" s="5"/>
      <c r="H29" s="5">
        <v>899</v>
      </c>
      <c r="I29" s="5" t="s">
        <v>186</v>
      </c>
      <c r="J29" s="5" t="s">
        <v>222</v>
      </c>
      <c r="K29" s="5">
        <v>4</v>
      </c>
      <c r="L29" s="5">
        <v>991</v>
      </c>
      <c r="M29" s="5">
        <v>0.61</v>
      </c>
      <c r="N29" s="5">
        <v>1790.0851063829789</v>
      </c>
      <c r="O29" s="5"/>
      <c r="P29" s="5" t="s">
        <v>222</v>
      </c>
      <c r="Q29" s="5" t="s">
        <v>55</v>
      </c>
      <c r="R29" s="5" t="s">
        <v>129</v>
      </c>
      <c r="S29" s="7" t="s">
        <v>2349</v>
      </c>
    </row>
    <row r="30" spans="1:19" x14ac:dyDescent="0.35">
      <c r="A30" s="6">
        <v>11173948</v>
      </c>
      <c r="B30" s="5" t="s">
        <v>180</v>
      </c>
      <c r="C30" s="5" t="s">
        <v>235</v>
      </c>
      <c r="D30" s="5" t="s">
        <v>168</v>
      </c>
      <c r="E30" s="5" t="s">
        <v>133</v>
      </c>
      <c r="F30" s="5" t="s">
        <v>2345</v>
      </c>
      <c r="G30" s="5">
        <v>359</v>
      </c>
      <c r="H30" s="5">
        <v>899</v>
      </c>
      <c r="I30" s="5" t="s">
        <v>314</v>
      </c>
      <c r="J30" s="5" t="s">
        <v>177</v>
      </c>
      <c r="K30" s="5">
        <v>4</v>
      </c>
      <c r="L30" s="5">
        <v>990</v>
      </c>
      <c r="M30" s="5">
        <v>0.6</v>
      </c>
      <c r="N30" s="5">
        <v>923.69459774582197</v>
      </c>
      <c r="O30" s="5">
        <v>359</v>
      </c>
      <c r="P30" s="5" t="s">
        <v>177</v>
      </c>
      <c r="Q30" s="5" t="s">
        <v>55</v>
      </c>
      <c r="R30" s="5" t="s">
        <v>129</v>
      </c>
      <c r="S30" s="7" t="s">
        <v>2346</v>
      </c>
    </row>
    <row r="31" spans="1:19" x14ac:dyDescent="0.35">
      <c r="A31" s="6">
        <v>11118428</v>
      </c>
      <c r="B31" s="5" t="s">
        <v>250</v>
      </c>
      <c r="C31" s="5" t="s">
        <v>163</v>
      </c>
      <c r="D31" s="5" t="s">
        <v>418</v>
      </c>
      <c r="E31" s="5" t="s">
        <v>133</v>
      </c>
      <c r="F31" s="5" t="s">
        <v>2343</v>
      </c>
      <c r="G31" s="5"/>
      <c r="H31" s="5">
        <v>1199</v>
      </c>
      <c r="I31" s="5" t="s">
        <v>178</v>
      </c>
      <c r="J31" s="5" t="s">
        <v>222</v>
      </c>
      <c r="K31" s="5">
        <v>4.3</v>
      </c>
      <c r="L31" s="5">
        <v>990</v>
      </c>
      <c r="M31" s="5">
        <v>0.55000000000000004</v>
      </c>
      <c r="N31" s="5">
        <v>1790.0851063829789</v>
      </c>
      <c r="O31" s="5"/>
      <c r="P31" s="5" t="s">
        <v>222</v>
      </c>
      <c r="Q31" s="5" t="s">
        <v>55</v>
      </c>
      <c r="R31" s="5" t="s">
        <v>129</v>
      </c>
      <c r="S31" s="7" t="s">
        <v>2344</v>
      </c>
    </row>
    <row r="32" spans="1:19" x14ac:dyDescent="0.35">
      <c r="A32" s="6">
        <v>17383362</v>
      </c>
      <c r="B32" s="5" t="s">
        <v>250</v>
      </c>
      <c r="C32" s="5" t="s">
        <v>163</v>
      </c>
      <c r="D32" s="5" t="s">
        <v>77</v>
      </c>
      <c r="E32" s="5" t="s">
        <v>133</v>
      </c>
      <c r="F32" s="5" t="s">
        <v>2341</v>
      </c>
      <c r="G32" s="5"/>
      <c r="H32" s="5">
        <v>1598</v>
      </c>
      <c r="I32" s="5" t="s">
        <v>209</v>
      </c>
      <c r="J32" s="5" t="s">
        <v>255</v>
      </c>
      <c r="K32" s="5">
        <v>4.2</v>
      </c>
      <c r="L32" s="5">
        <v>990</v>
      </c>
      <c r="M32" s="5">
        <v>0.5</v>
      </c>
      <c r="N32" s="5">
        <v>1790.0851063829789</v>
      </c>
      <c r="O32" s="5"/>
      <c r="P32" s="5" t="s">
        <v>255</v>
      </c>
      <c r="Q32" s="5" t="s">
        <v>57</v>
      </c>
      <c r="R32" s="5" t="s">
        <v>129</v>
      </c>
      <c r="S32" s="7" t="s">
        <v>2342</v>
      </c>
    </row>
    <row r="33" spans="1:19" x14ac:dyDescent="0.35">
      <c r="A33" s="6">
        <v>9971493</v>
      </c>
      <c r="B33" s="5" t="s">
        <v>169</v>
      </c>
      <c r="C33" s="5" t="s">
        <v>163</v>
      </c>
      <c r="D33" s="5" t="s">
        <v>228</v>
      </c>
      <c r="E33" s="5" t="s">
        <v>133</v>
      </c>
      <c r="F33" s="5" t="s">
        <v>2339</v>
      </c>
      <c r="G33" s="5"/>
      <c r="H33" s="5">
        <v>2349</v>
      </c>
      <c r="I33" s="5" t="s">
        <v>197</v>
      </c>
      <c r="J33" s="5" t="s">
        <v>150</v>
      </c>
      <c r="K33" s="5">
        <v>4.4000000000000004</v>
      </c>
      <c r="L33" s="5">
        <v>990</v>
      </c>
      <c r="M33" s="5">
        <v>0.65</v>
      </c>
      <c r="N33" s="5">
        <v>1790.0851063829789</v>
      </c>
      <c r="O33" s="5"/>
      <c r="P33" s="5" t="s">
        <v>150</v>
      </c>
      <c r="Q33" s="5" t="s">
        <v>55</v>
      </c>
      <c r="R33" s="5" t="s">
        <v>129</v>
      </c>
      <c r="S33" s="7" t="s">
        <v>2340</v>
      </c>
    </row>
    <row r="34" spans="1:19" x14ac:dyDescent="0.35">
      <c r="A34" s="6">
        <v>7846797</v>
      </c>
      <c r="B34" s="5" t="s">
        <v>1760</v>
      </c>
      <c r="C34" s="5" t="s">
        <v>163</v>
      </c>
      <c r="D34" s="5" t="s">
        <v>1677</v>
      </c>
      <c r="E34" s="5" t="s">
        <v>133</v>
      </c>
      <c r="F34" s="5" t="s">
        <v>2337</v>
      </c>
      <c r="G34" s="5"/>
      <c r="H34" s="5">
        <v>2449</v>
      </c>
      <c r="I34" s="5" t="s">
        <v>197</v>
      </c>
      <c r="J34" s="5" t="s">
        <v>150</v>
      </c>
      <c r="K34" s="5">
        <v>4.3</v>
      </c>
      <c r="L34" s="5">
        <v>990</v>
      </c>
      <c r="M34" s="5">
        <v>0.65</v>
      </c>
      <c r="N34" s="5">
        <v>1790.0851063829789</v>
      </c>
      <c r="O34" s="5"/>
      <c r="P34" s="5" t="s">
        <v>150</v>
      </c>
      <c r="Q34" s="5" t="s">
        <v>55</v>
      </c>
      <c r="R34" s="5" t="s">
        <v>129</v>
      </c>
      <c r="S34" s="7" t="s">
        <v>2338</v>
      </c>
    </row>
    <row r="35" spans="1:19" x14ac:dyDescent="0.35">
      <c r="A35" s="6">
        <v>10771696</v>
      </c>
      <c r="B35" s="5" t="s">
        <v>2335</v>
      </c>
      <c r="C35" s="5" t="s">
        <v>163</v>
      </c>
      <c r="D35" s="5" t="s">
        <v>1677</v>
      </c>
      <c r="E35" s="5" t="s">
        <v>133</v>
      </c>
      <c r="F35" s="5" t="s">
        <v>2334</v>
      </c>
      <c r="G35" s="5"/>
      <c r="H35" s="5">
        <v>2959</v>
      </c>
      <c r="I35" s="5" t="s">
        <v>178</v>
      </c>
      <c r="J35" s="5" t="s">
        <v>192</v>
      </c>
      <c r="K35" s="5">
        <v>4.3</v>
      </c>
      <c r="L35" s="5">
        <v>990</v>
      </c>
      <c r="M35" s="5">
        <v>0.55000000000000004</v>
      </c>
      <c r="N35" s="5">
        <v>1790.0851063829789</v>
      </c>
      <c r="O35" s="5"/>
      <c r="P35" s="5" t="s">
        <v>192</v>
      </c>
      <c r="Q35" s="5" t="s">
        <v>55</v>
      </c>
      <c r="R35" s="5" t="s">
        <v>129</v>
      </c>
      <c r="S35" s="7" t="s">
        <v>2336</v>
      </c>
    </row>
    <row r="36" spans="1:19" x14ac:dyDescent="0.35">
      <c r="A36" s="6">
        <v>10969948</v>
      </c>
      <c r="B36" s="5" t="s">
        <v>250</v>
      </c>
      <c r="C36" s="5" t="s">
        <v>163</v>
      </c>
      <c r="D36" s="5" t="s">
        <v>77</v>
      </c>
      <c r="E36" s="5" t="s">
        <v>133</v>
      </c>
      <c r="F36" s="5" t="s">
        <v>2332</v>
      </c>
      <c r="G36" s="5"/>
      <c r="H36" s="5">
        <v>899</v>
      </c>
      <c r="I36" s="5" t="s">
        <v>223</v>
      </c>
      <c r="J36" s="5" t="s">
        <v>192</v>
      </c>
      <c r="K36" s="5">
        <v>4.0999999999999996</v>
      </c>
      <c r="L36" s="5">
        <v>990</v>
      </c>
      <c r="M36" s="5">
        <v>0.6</v>
      </c>
      <c r="N36" s="5">
        <v>1790.0851063829789</v>
      </c>
      <c r="O36" s="5"/>
      <c r="P36" s="5" t="s">
        <v>192</v>
      </c>
      <c r="Q36" s="5" t="s">
        <v>55</v>
      </c>
      <c r="R36" s="5" t="s">
        <v>129</v>
      </c>
      <c r="S36" s="7" t="s">
        <v>2333</v>
      </c>
    </row>
    <row r="37" spans="1:19" x14ac:dyDescent="0.35">
      <c r="A37" s="6">
        <v>11938872</v>
      </c>
      <c r="B37" s="5" t="s">
        <v>2085</v>
      </c>
      <c r="C37" s="5" t="s">
        <v>273</v>
      </c>
      <c r="D37" s="5" t="s">
        <v>2084</v>
      </c>
      <c r="E37" s="5" t="s">
        <v>133</v>
      </c>
      <c r="F37" s="5" t="s">
        <v>2330</v>
      </c>
      <c r="G37" s="5">
        <v>489</v>
      </c>
      <c r="H37" s="5">
        <v>999</v>
      </c>
      <c r="I37" s="5" t="s">
        <v>279</v>
      </c>
      <c r="J37" s="5" t="s">
        <v>171</v>
      </c>
      <c r="K37" s="5">
        <v>4.2</v>
      </c>
      <c r="L37" s="5">
        <v>989</v>
      </c>
      <c r="M37" s="5">
        <v>0.51</v>
      </c>
      <c r="N37" s="5">
        <v>811.90284167198604</v>
      </c>
      <c r="O37" s="5">
        <v>489</v>
      </c>
      <c r="P37" s="5" t="s">
        <v>171</v>
      </c>
      <c r="Q37" s="5" t="s">
        <v>55</v>
      </c>
      <c r="R37" s="5" t="s">
        <v>129</v>
      </c>
      <c r="S37" s="7" t="s">
        <v>2331</v>
      </c>
    </row>
    <row r="38" spans="1:19" x14ac:dyDescent="0.35">
      <c r="A38" s="6">
        <v>14154054</v>
      </c>
      <c r="B38" s="5" t="s">
        <v>164</v>
      </c>
      <c r="C38" s="5" t="s">
        <v>163</v>
      </c>
      <c r="D38" s="5" t="s">
        <v>199</v>
      </c>
      <c r="E38" s="5" t="s">
        <v>133</v>
      </c>
      <c r="F38" s="5" t="s">
        <v>2328</v>
      </c>
      <c r="G38" s="5"/>
      <c r="H38" s="5">
        <v>1199</v>
      </c>
      <c r="I38" s="5" t="s">
        <v>1035</v>
      </c>
      <c r="J38" s="5" t="s">
        <v>212</v>
      </c>
      <c r="K38" s="5">
        <v>4.3</v>
      </c>
      <c r="L38" s="5">
        <v>989</v>
      </c>
      <c r="M38" s="5">
        <v>0.49</v>
      </c>
      <c r="N38" s="5">
        <v>1790.0851063829789</v>
      </c>
      <c r="O38" s="5"/>
      <c r="P38" s="5" t="s">
        <v>212</v>
      </c>
      <c r="Q38" s="5" t="s">
        <v>57</v>
      </c>
      <c r="R38" s="5" t="s">
        <v>129</v>
      </c>
      <c r="S38" s="7" t="s">
        <v>2329</v>
      </c>
    </row>
    <row r="39" spans="1:19" x14ac:dyDescent="0.35">
      <c r="A39" s="6">
        <v>2477061</v>
      </c>
      <c r="B39" s="5" t="s">
        <v>183</v>
      </c>
      <c r="C39" s="5" t="s">
        <v>189</v>
      </c>
      <c r="D39" s="5" t="s">
        <v>162</v>
      </c>
      <c r="E39" s="5" t="s">
        <v>140</v>
      </c>
      <c r="F39" s="5" t="s">
        <v>628</v>
      </c>
      <c r="G39" s="5">
        <v>1539</v>
      </c>
      <c r="H39" s="5">
        <v>2799</v>
      </c>
      <c r="I39" s="5" t="s">
        <v>36</v>
      </c>
      <c r="J39" s="5" t="s">
        <v>502</v>
      </c>
      <c r="K39" s="5">
        <v>4</v>
      </c>
      <c r="L39" s="5">
        <v>988</v>
      </c>
      <c r="M39" s="5">
        <v>0.45</v>
      </c>
      <c r="N39" s="5">
        <v>1351.2078667815099</v>
      </c>
      <c r="O39" s="5">
        <v>1539</v>
      </c>
      <c r="P39" s="5" t="s">
        <v>502</v>
      </c>
      <c r="Q39" s="5" t="s">
        <v>57</v>
      </c>
      <c r="R39" s="5" t="s">
        <v>129</v>
      </c>
      <c r="S39" s="7" t="s">
        <v>2327</v>
      </c>
    </row>
    <row r="40" spans="1:19" x14ac:dyDescent="0.35">
      <c r="A40" s="6">
        <v>10187401</v>
      </c>
      <c r="B40" s="5" t="s">
        <v>183</v>
      </c>
      <c r="C40" s="5" t="s">
        <v>189</v>
      </c>
      <c r="D40" s="5" t="s">
        <v>162</v>
      </c>
      <c r="E40" s="5" t="s">
        <v>140</v>
      </c>
      <c r="F40" s="5" t="s">
        <v>503</v>
      </c>
      <c r="G40" s="5">
        <v>1429</v>
      </c>
      <c r="H40" s="5">
        <v>2599</v>
      </c>
      <c r="I40" s="5" t="s">
        <v>36</v>
      </c>
      <c r="J40" s="5" t="s">
        <v>502</v>
      </c>
      <c r="K40" s="5">
        <v>4.0999999999999996</v>
      </c>
      <c r="L40" s="5">
        <v>988</v>
      </c>
      <c r="M40" s="5">
        <v>0.45</v>
      </c>
      <c r="N40" s="5">
        <v>1351.2078667815099</v>
      </c>
      <c r="O40" s="5">
        <v>1429</v>
      </c>
      <c r="P40" s="5" t="s">
        <v>502</v>
      </c>
      <c r="Q40" s="5" t="s">
        <v>57</v>
      </c>
      <c r="R40" s="5" t="s">
        <v>129</v>
      </c>
      <c r="S40" s="7" t="s">
        <v>2326</v>
      </c>
    </row>
    <row r="41" spans="1:19" x14ac:dyDescent="0.35">
      <c r="A41" s="6">
        <v>6791064</v>
      </c>
      <c r="B41" s="5" t="s">
        <v>152</v>
      </c>
      <c r="C41" s="5" t="s">
        <v>75</v>
      </c>
      <c r="D41" s="5" t="s">
        <v>199</v>
      </c>
      <c r="E41" s="5" t="s">
        <v>140</v>
      </c>
      <c r="F41" s="5" t="s">
        <v>2324</v>
      </c>
      <c r="G41" s="5">
        <v>759</v>
      </c>
      <c r="H41" s="5">
        <v>1899</v>
      </c>
      <c r="I41" s="5" t="s">
        <v>223</v>
      </c>
      <c r="J41" s="5" t="s">
        <v>150</v>
      </c>
      <c r="K41" s="5">
        <v>4</v>
      </c>
      <c r="L41" s="5">
        <v>988</v>
      </c>
      <c r="M41" s="5">
        <v>0.6</v>
      </c>
      <c r="N41" s="5">
        <v>1097.3783736315199</v>
      </c>
      <c r="O41" s="5">
        <v>759</v>
      </c>
      <c r="P41" s="5" t="s">
        <v>150</v>
      </c>
      <c r="Q41" s="5" t="s">
        <v>55</v>
      </c>
      <c r="R41" s="5" t="s">
        <v>129</v>
      </c>
      <c r="S41" s="7" t="s">
        <v>2325</v>
      </c>
    </row>
    <row r="42" spans="1:19" x14ac:dyDescent="0.35">
      <c r="A42" s="6">
        <v>12918912</v>
      </c>
      <c r="B42" s="5" t="s">
        <v>250</v>
      </c>
      <c r="C42" s="5" t="s">
        <v>142</v>
      </c>
      <c r="D42" s="5" t="s">
        <v>141</v>
      </c>
      <c r="E42" s="5" t="s">
        <v>140</v>
      </c>
      <c r="F42" s="5" t="s">
        <v>2322</v>
      </c>
      <c r="G42" s="5">
        <v>599</v>
      </c>
      <c r="H42" s="5">
        <v>1199</v>
      </c>
      <c r="I42" s="5" t="s">
        <v>209</v>
      </c>
      <c r="J42" s="5" t="s">
        <v>276</v>
      </c>
      <c r="K42" s="5">
        <v>4.3</v>
      </c>
      <c r="L42" s="5">
        <v>988</v>
      </c>
      <c r="M42" s="5">
        <v>0.5</v>
      </c>
      <c r="N42" s="5">
        <v>1138.6340612208289</v>
      </c>
      <c r="O42" s="5">
        <v>599</v>
      </c>
      <c r="P42" s="5" t="s">
        <v>276</v>
      </c>
      <c r="Q42" s="5" t="s">
        <v>57</v>
      </c>
      <c r="R42" s="5" t="s">
        <v>129</v>
      </c>
      <c r="S42" s="7" t="s">
        <v>2323</v>
      </c>
    </row>
    <row r="43" spans="1:19" x14ac:dyDescent="0.35">
      <c r="A43" s="6">
        <v>11245584</v>
      </c>
      <c r="B43" s="5" t="s">
        <v>152</v>
      </c>
      <c r="C43" s="5" t="s">
        <v>75</v>
      </c>
      <c r="D43" s="5" t="s">
        <v>568</v>
      </c>
      <c r="E43" s="5" t="s">
        <v>133</v>
      </c>
      <c r="F43" s="5" t="s">
        <v>2320</v>
      </c>
      <c r="G43" s="5">
        <v>594</v>
      </c>
      <c r="H43" s="5">
        <v>1699</v>
      </c>
      <c r="I43" s="5" t="s">
        <v>197</v>
      </c>
      <c r="J43" s="5" t="s">
        <v>196</v>
      </c>
      <c r="K43" s="5">
        <v>4</v>
      </c>
      <c r="L43" s="5">
        <v>988</v>
      </c>
      <c r="M43" s="5">
        <v>0.65</v>
      </c>
      <c r="N43" s="5">
        <v>1097.3783736315199</v>
      </c>
      <c r="O43" s="5">
        <v>594</v>
      </c>
      <c r="P43" s="5" t="s">
        <v>196</v>
      </c>
      <c r="Q43" s="5" t="s">
        <v>55</v>
      </c>
      <c r="R43" s="5" t="s">
        <v>129</v>
      </c>
      <c r="S43" s="7" t="s">
        <v>2321</v>
      </c>
    </row>
    <row r="44" spans="1:19" x14ac:dyDescent="0.35">
      <c r="A44" s="6">
        <v>8643285</v>
      </c>
      <c r="B44" s="5" t="s">
        <v>472</v>
      </c>
      <c r="C44" s="5" t="s">
        <v>163</v>
      </c>
      <c r="D44" s="5" t="s">
        <v>188</v>
      </c>
      <c r="E44" s="5" t="s">
        <v>133</v>
      </c>
      <c r="F44" s="5" t="s">
        <v>2318</v>
      </c>
      <c r="G44" s="5"/>
      <c r="H44" s="5">
        <v>1599</v>
      </c>
      <c r="I44" s="5" t="s">
        <v>209</v>
      </c>
      <c r="J44" s="5" t="s">
        <v>222</v>
      </c>
      <c r="K44" s="5">
        <v>3.6</v>
      </c>
      <c r="L44" s="5">
        <v>988</v>
      </c>
      <c r="M44" s="5">
        <v>0.5</v>
      </c>
      <c r="N44" s="5">
        <v>1790.0851063829789</v>
      </c>
      <c r="O44" s="5"/>
      <c r="P44" s="5" t="s">
        <v>222</v>
      </c>
      <c r="Q44" s="5" t="s">
        <v>57</v>
      </c>
      <c r="R44" s="5" t="s">
        <v>129</v>
      </c>
      <c r="S44" s="7" t="s">
        <v>2319</v>
      </c>
    </row>
    <row r="45" spans="1:19" x14ac:dyDescent="0.35">
      <c r="A45" s="6">
        <v>9451341</v>
      </c>
      <c r="B45" s="5" t="s">
        <v>522</v>
      </c>
      <c r="C45" s="5" t="s">
        <v>163</v>
      </c>
      <c r="D45" s="5" t="s">
        <v>194</v>
      </c>
      <c r="E45" s="5" t="s">
        <v>133</v>
      </c>
      <c r="F45" s="5" t="s">
        <v>2316</v>
      </c>
      <c r="G45" s="5"/>
      <c r="H45" s="5">
        <v>1699</v>
      </c>
      <c r="I45" s="5" t="s">
        <v>218</v>
      </c>
      <c r="J45" s="5" t="s">
        <v>150</v>
      </c>
      <c r="K45" s="5">
        <v>4.2</v>
      </c>
      <c r="L45" s="5">
        <v>988</v>
      </c>
      <c r="M45" s="5">
        <v>0.3</v>
      </c>
      <c r="N45" s="5">
        <v>1790.0851063829789</v>
      </c>
      <c r="O45" s="5"/>
      <c r="P45" s="5" t="s">
        <v>150</v>
      </c>
      <c r="Q45" s="5" t="s">
        <v>57</v>
      </c>
      <c r="R45" s="5" t="s">
        <v>129</v>
      </c>
      <c r="S45" s="7" t="s">
        <v>2317</v>
      </c>
    </row>
    <row r="46" spans="1:19" x14ac:dyDescent="0.35">
      <c r="A46" s="6">
        <v>7526008</v>
      </c>
      <c r="B46" s="5" t="s">
        <v>2314</v>
      </c>
      <c r="C46" s="5" t="s">
        <v>163</v>
      </c>
      <c r="D46" s="5" t="s">
        <v>493</v>
      </c>
      <c r="E46" s="5" t="s">
        <v>133</v>
      </c>
      <c r="F46" s="5" t="s">
        <v>2313</v>
      </c>
      <c r="G46" s="5"/>
      <c r="H46" s="5">
        <v>1999</v>
      </c>
      <c r="I46" s="5" t="s">
        <v>178</v>
      </c>
      <c r="J46" s="5" t="s">
        <v>212</v>
      </c>
      <c r="K46" s="5">
        <v>4.2</v>
      </c>
      <c r="L46" s="5">
        <v>988</v>
      </c>
      <c r="M46" s="5">
        <v>0.55000000000000004</v>
      </c>
      <c r="N46" s="5">
        <v>1790.0851063829789</v>
      </c>
      <c r="O46" s="5"/>
      <c r="P46" s="5" t="s">
        <v>212</v>
      </c>
      <c r="Q46" s="5" t="s">
        <v>55</v>
      </c>
      <c r="R46" s="5" t="s">
        <v>129</v>
      </c>
      <c r="S46" s="7" t="s">
        <v>2315</v>
      </c>
    </row>
    <row r="47" spans="1:19" x14ac:dyDescent="0.35">
      <c r="A47" s="6">
        <v>11235516</v>
      </c>
      <c r="B47" s="5" t="s">
        <v>321</v>
      </c>
      <c r="C47" s="5" t="s">
        <v>163</v>
      </c>
      <c r="D47" s="5" t="s">
        <v>194</v>
      </c>
      <c r="E47" s="5" t="s">
        <v>133</v>
      </c>
      <c r="F47" s="5" t="s">
        <v>2311</v>
      </c>
      <c r="G47" s="5"/>
      <c r="H47" s="5">
        <v>995</v>
      </c>
      <c r="I47" s="5" t="s">
        <v>319</v>
      </c>
      <c r="J47" s="5" t="s">
        <v>212</v>
      </c>
      <c r="K47" s="5">
        <v>4.0999999999999996</v>
      </c>
      <c r="L47" s="5">
        <v>988</v>
      </c>
      <c r="M47" s="5">
        <v>0.57999999999999996</v>
      </c>
      <c r="N47" s="5">
        <v>1790.0851063829789</v>
      </c>
      <c r="O47" s="5"/>
      <c r="P47" s="5" t="s">
        <v>212</v>
      </c>
      <c r="Q47" s="5" t="s">
        <v>55</v>
      </c>
      <c r="R47" s="5" t="s">
        <v>129</v>
      </c>
      <c r="S47" s="7" t="s">
        <v>2312</v>
      </c>
    </row>
    <row r="48" spans="1:19" x14ac:dyDescent="0.35">
      <c r="A48" s="6">
        <v>10064541</v>
      </c>
      <c r="B48" s="5" t="s">
        <v>250</v>
      </c>
      <c r="C48" s="5" t="s">
        <v>189</v>
      </c>
      <c r="D48" s="5" t="s">
        <v>162</v>
      </c>
      <c r="E48" s="5" t="s">
        <v>140</v>
      </c>
      <c r="F48" s="5" t="s">
        <v>2309</v>
      </c>
      <c r="G48" s="5">
        <v>799</v>
      </c>
      <c r="H48" s="5">
        <v>1999</v>
      </c>
      <c r="I48" s="5" t="s">
        <v>223</v>
      </c>
      <c r="J48" s="5" t="s">
        <v>624</v>
      </c>
      <c r="K48" s="5">
        <v>3.8</v>
      </c>
      <c r="L48" s="5">
        <v>987</v>
      </c>
      <c r="M48" s="5">
        <v>0.6</v>
      </c>
      <c r="N48" s="5">
        <v>1351.2078667815099</v>
      </c>
      <c r="O48" s="5">
        <v>799</v>
      </c>
      <c r="P48" s="5" t="s">
        <v>624</v>
      </c>
      <c r="Q48" s="5" t="s">
        <v>55</v>
      </c>
      <c r="R48" s="5" t="s">
        <v>129</v>
      </c>
      <c r="S48" s="7" t="s">
        <v>2310</v>
      </c>
    </row>
    <row r="49" spans="1:19" x14ac:dyDescent="0.35">
      <c r="A49" s="6">
        <v>976816</v>
      </c>
      <c r="B49" s="5" t="s">
        <v>152</v>
      </c>
      <c r="C49" s="5" t="s">
        <v>156</v>
      </c>
      <c r="D49" s="5" t="s">
        <v>220</v>
      </c>
      <c r="E49" s="5" t="s">
        <v>140</v>
      </c>
      <c r="F49" s="5" t="s">
        <v>2307</v>
      </c>
      <c r="G49" s="5">
        <v>359</v>
      </c>
      <c r="H49" s="5">
        <v>599</v>
      </c>
      <c r="I49" s="5" t="s">
        <v>131</v>
      </c>
      <c r="J49" s="5" t="s">
        <v>171</v>
      </c>
      <c r="K49" s="5">
        <v>4.5</v>
      </c>
      <c r="L49" s="5">
        <v>987</v>
      </c>
      <c r="M49" s="5">
        <v>0.4</v>
      </c>
      <c r="N49" s="5">
        <v>691.83976143141149</v>
      </c>
      <c r="O49" s="5">
        <v>359</v>
      </c>
      <c r="P49" s="5" t="s">
        <v>171</v>
      </c>
      <c r="Q49" s="5" t="s">
        <v>57</v>
      </c>
      <c r="R49" s="5" t="s">
        <v>129</v>
      </c>
      <c r="S49" s="7" t="s">
        <v>2308</v>
      </c>
    </row>
    <row r="50" spans="1:19" x14ac:dyDescent="0.35">
      <c r="A50" s="6">
        <v>11269190</v>
      </c>
      <c r="B50" s="5" t="s">
        <v>136</v>
      </c>
      <c r="C50" s="5" t="s">
        <v>142</v>
      </c>
      <c r="D50" s="5" t="s">
        <v>77</v>
      </c>
      <c r="E50" s="5" t="s">
        <v>140</v>
      </c>
      <c r="F50" s="5" t="s">
        <v>2305</v>
      </c>
      <c r="G50" s="5">
        <v>479</v>
      </c>
      <c r="H50" s="5">
        <v>1199</v>
      </c>
      <c r="I50" s="5" t="s">
        <v>223</v>
      </c>
      <c r="J50" s="5" t="s">
        <v>212</v>
      </c>
      <c r="K50" s="5">
        <v>4.2</v>
      </c>
      <c r="L50" s="5">
        <v>987</v>
      </c>
      <c r="M50" s="5">
        <v>0.6</v>
      </c>
      <c r="N50" s="5">
        <v>1138.6340612208289</v>
      </c>
      <c r="O50" s="5">
        <v>479</v>
      </c>
      <c r="P50" s="5" t="s">
        <v>212</v>
      </c>
      <c r="Q50" s="5" t="s">
        <v>55</v>
      </c>
      <c r="R50" s="5" t="s">
        <v>129</v>
      </c>
      <c r="S50" s="7" t="s">
        <v>2306</v>
      </c>
    </row>
    <row r="51" spans="1:19" x14ac:dyDescent="0.35">
      <c r="A51" s="6">
        <v>10266495</v>
      </c>
      <c r="B51" s="5" t="s">
        <v>136</v>
      </c>
      <c r="C51" s="5" t="s">
        <v>142</v>
      </c>
      <c r="D51" s="5" t="s">
        <v>77</v>
      </c>
      <c r="E51" s="5" t="s">
        <v>140</v>
      </c>
      <c r="F51" s="5" t="s">
        <v>2303</v>
      </c>
      <c r="G51" s="5">
        <v>399</v>
      </c>
      <c r="H51" s="5">
        <v>999</v>
      </c>
      <c r="I51" s="5" t="s">
        <v>223</v>
      </c>
      <c r="J51" s="5" t="s">
        <v>212</v>
      </c>
      <c r="K51" s="5">
        <v>4</v>
      </c>
      <c r="L51" s="5">
        <v>987</v>
      </c>
      <c r="M51" s="5">
        <v>0.6</v>
      </c>
      <c r="N51" s="5">
        <v>1138.6340612208289</v>
      </c>
      <c r="O51" s="5">
        <v>399</v>
      </c>
      <c r="P51" s="5" t="s">
        <v>212</v>
      </c>
      <c r="Q51" s="5" t="s">
        <v>55</v>
      </c>
      <c r="R51" s="5" t="s">
        <v>129</v>
      </c>
      <c r="S51" s="7" t="s">
        <v>2304</v>
      </c>
    </row>
    <row r="52" spans="1:19" x14ac:dyDescent="0.35">
      <c r="A52" s="6">
        <v>8986005</v>
      </c>
      <c r="B52" s="5" t="s">
        <v>1607</v>
      </c>
      <c r="C52" s="5" t="s">
        <v>163</v>
      </c>
      <c r="D52" s="5" t="s">
        <v>194</v>
      </c>
      <c r="E52" s="5" t="s">
        <v>133</v>
      </c>
      <c r="F52" s="5" t="s">
        <v>2301</v>
      </c>
      <c r="G52" s="5"/>
      <c r="H52" s="5">
        <v>1199</v>
      </c>
      <c r="I52" s="5" t="s">
        <v>645</v>
      </c>
      <c r="J52" s="5" t="s">
        <v>212</v>
      </c>
      <c r="K52" s="5">
        <v>4</v>
      </c>
      <c r="L52" s="5">
        <v>987</v>
      </c>
      <c r="M52" s="5">
        <v>0.52</v>
      </c>
      <c r="N52" s="5">
        <v>1790.0851063829789</v>
      </c>
      <c r="O52" s="5"/>
      <c r="P52" s="5" t="s">
        <v>212</v>
      </c>
      <c r="Q52" s="5" t="s">
        <v>55</v>
      </c>
      <c r="R52" s="5" t="s">
        <v>129</v>
      </c>
      <c r="S52" s="7" t="s">
        <v>2302</v>
      </c>
    </row>
    <row r="53" spans="1:19" x14ac:dyDescent="0.35">
      <c r="A53" s="6">
        <v>10604500</v>
      </c>
      <c r="B53" s="5" t="s">
        <v>472</v>
      </c>
      <c r="C53" s="5" t="s">
        <v>163</v>
      </c>
      <c r="D53" s="5" t="s">
        <v>493</v>
      </c>
      <c r="E53" s="5" t="s">
        <v>133</v>
      </c>
      <c r="F53" s="5" t="s">
        <v>2299</v>
      </c>
      <c r="G53" s="5"/>
      <c r="H53" s="5">
        <v>1799</v>
      </c>
      <c r="I53" s="5" t="s">
        <v>197</v>
      </c>
      <c r="J53" s="5" t="s">
        <v>196</v>
      </c>
      <c r="K53" s="5">
        <v>4.3</v>
      </c>
      <c r="L53" s="5">
        <v>987</v>
      </c>
      <c r="M53" s="5">
        <v>0.65</v>
      </c>
      <c r="N53" s="5">
        <v>1790.0851063829789</v>
      </c>
      <c r="O53" s="5"/>
      <c r="P53" s="5" t="s">
        <v>196</v>
      </c>
      <c r="Q53" s="5" t="s">
        <v>55</v>
      </c>
      <c r="R53" s="5" t="s">
        <v>129</v>
      </c>
      <c r="S53" s="7" t="s">
        <v>2300</v>
      </c>
    </row>
    <row r="54" spans="1:19" x14ac:dyDescent="0.35">
      <c r="A54" s="6">
        <v>11045880</v>
      </c>
      <c r="B54" s="5" t="s">
        <v>250</v>
      </c>
      <c r="C54" s="5" t="s">
        <v>163</v>
      </c>
      <c r="D54" s="5" t="s">
        <v>162</v>
      </c>
      <c r="E54" s="5" t="s">
        <v>133</v>
      </c>
      <c r="F54" s="5" t="s">
        <v>2297</v>
      </c>
      <c r="G54" s="5"/>
      <c r="H54" s="5">
        <v>2499</v>
      </c>
      <c r="I54" s="5" t="s">
        <v>310</v>
      </c>
      <c r="J54" s="5" t="s">
        <v>222</v>
      </c>
      <c r="K54" s="5">
        <v>3.7</v>
      </c>
      <c r="L54" s="5">
        <v>987</v>
      </c>
      <c r="M54" s="5">
        <v>0.75</v>
      </c>
      <c r="N54" s="5">
        <v>1790.0851063829789</v>
      </c>
      <c r="O54" s="5"/>
      <c r="P54" s="5" t="s">
        <v>222</v>
      </c>
      <c r="Q54" s="5" t="s">
        <v>55</v>
      </c>
      <c r="R54" s="5" t="s">
        <v>129</v>
      </c>
      <c r="S54" s="7" t="s">
        <v>2298</v>
      </c>
    </row>
    <row r="55" spans="1:19" x14ac:dyDescent="0.35">
      <c r="A55" s="6">
        <v>8912653</v>
      </c>
      <c r="B55" s="5" t="s">
        <v>490</v>
      </c>
      <c r="C55" s="5" t="s">
        <v>163</v>
      </c>
      <c r="D55" s="5" t="s">
        <v>77</v>
      </c>
      <c r="E55" s="5" t="s">
        <v>133</v>
      </c>
      <c r="F55" s="5" t="s">
        <v>2295</v>
      </c>
      <c r="G55" s="5"/>
      <c r="H55" s="5">
        <v>899</v>
      </c>
      <c r="I55" s="5" t="s">
        <v>197</v>
      </c>
      <c r="J55" s="5" t="s">
        <v>192</v>
      </c>
      <c r="K55" s="5">
        <v>3.9</v>
      </c>
      <c r="L55" s="5">
        <v>987</v>
      </c>
      <c r="M55" s="5">
        <v>0.65</v>
      </c>
      <c r="N55" s="5">
        <v>1790.0851063829789</v>
      </c>
      <c r="O55" s="5"/>
      <c r="P55" s="5" t="s">
        <v>192</v>
      </c>
      <c r="Q55" s="5" t="s">
        <v>55</v>
      </c>
      <c r="R55" s="5" t="s">
        <v>129</v>
      </c>
      <c r="S55" s="7" t="s">
        <v>2296</v>
      </c>
    </row>
    <row r="56" spans="1:19" x14ac:dyDescent="0.35">
      <c r="A56" s="6">
        <v>10064487</v>
      </c>
      <c r="B56" s="5" t="s">
        <v>250</v>
      </c>
      <c r="C56" s="5" t="s">
        <v>189</v>
      </c>
      <c r="D56" s="5" t="s">
        <v>162</v>
      </c>
      <c r="E56" s="5" t="s">
        <v>140</v>
      </c>
      <c r="F56" s="5" t="s">
        <v>2293</v>
      </c>
      <c r="G56" s="5">
        <v>989</v>
      </c>
      <c r="H56" s="5">
        <v>2199</v>
      </c>
      <c r="I56" s="5" t="s">
        <v>178</v>
      </c>
      <c r="J56" s="5" t="s">
        <v>408</v>
      </c>
      <c r="K56" s="5">
        <v>3.7</v>
      </c>
      <c r="L56" s="5">
        <v>986</v>
      </c>
      <c r="M56" s="5">
        <v>0.55000000000000004</v>
      </c>
      <c r="N56" s="5">
        <v>1351.2078667815099</v>
      </c>
      <c r="O56" s="5">
        <v>989</v>
      </c>
      <c r="P56" s="5" t="s">
        <v>408</v>
      </c>
      <c r="Q56" s="5" t="s">
        <v>55</v>
      </c>
      <c r="R56" s="5" t="s">
        <v>129</v>
      </c>
      <c r="S56" s="7" t="s">
        <v>2294</v>
      </c>
    </row>
    <row r="57" spans="1:19" x14ac:dyDescent="0.35">
      <c r="A57" s="6">
        <v>2888727</v>
      </c>
      <c r="B57" s="5" t="s">
        <v>190</v>
      </c>
      <c r="C57" s="5" t="s">
        <v>142</v>
      </c>
      <c r="D57" s="5" t="s">
        <v>141</v>
      </c>
      <c r="E57" s="5" t="s">
        <v>140</v>
      </c>
      <c r="F57" s="5" t="s">
        <v>2291</v>
      </c>
      <c r="G57" s="5">
        <v>587</v>
      </c>
      <c r="H57" s="5">
        <v>1249</v>
      </c>
      <c r="I57" s="5" t="s">
        <v>381</v>
      </c>
      <c r="J57" s="5" t="s">
        <v>145</v>
      </c>
      <c r="K57" s="5">
        <v>4.0999999999999996</v>
      </c>
      <c r="L57" s="5">
        <v>986</v>
      </c>
      <c r="M57" s="5">
        <v>0.53</v>
      </c>
      <c r="N57" s="5">
        <v>1138.6340612208289</v>
      </c>
      <c r="O57" s="5">
        <v>587</v>
      </c>
      <c r="P57" s="5" t="s">
        <v>145</v>
      </c>
      <c r="Q57" s="5" t="s">
        <v>55</v>
      </c>
      <c r="R57" s="5" t="s">
        <v>129</v>
      </c>
      <c r="S57" s="7" t="s">
        <v>2292</v>
      </c>
    </row>
    <row r="58" spans="1:19" x14ac:dyDescent="0.35">
      <c r="A58" s="6">
        <v>12150560</v>
      </c>
      <c r="B58" s="5" t="s">
        <v>239</v>
      </c>
      <c r="C58" s="5" t="s">
        <v>235</v>
      </c>
      <c r="D58" s="5" t="s">
        <v>194</v>
      </c>
      <c r="E58" s="5" t="s">
        <v>133</v>
      </c>
      <c r="F58" s="5" t="s">
        <v>2289</v>
      </c>
      <c r="G58" s="5">
        <v>559</v>
      </c>
      <c r="H58" s="5">
        <v>1599</v>
      </c>
      <c r="I58" s="5" t="s">
        <v>197</v>
      </c>
      <c r="J58" s="5" t="s">
        <v>237</v>
      </c>
      <c r="K58" s="5">
        <v>4.4000000000000004</v>
      </c>
      <c r="L58" s="5">
        <v>986</v>
      </c>
      <c r="M58" s="5">
        <v>0.65</v>
      </c>
      <c r="N58" s="5">
        <v>923.69459774582197</v>
      </c>
      <c r="O58" s="5">
        <v>559</v>
      </c>
      <c r="P58" s="5" t="s">
        <v>237</v>
      </c>
      <c r="Q58" s="5" t="s">
        <v>55</v>
      </c>
      <c r="R58" s="5" t="s">
        <v>129</v>
      </c>
      <c r="S58" s="7" t="s">
        <v>2290</v>
      </c>
    </row>
    <row r="59" spans="1:19" x14ac:dyDescent="0.35">
      <c r="A59" s="6">
        <v>2337104</v>
      </c>
      <c r="B59" s="5" t="s">
        <v>878</v>
      </c>
      <c r="C59" s="5" t="s">
        <v>163</v>
      </c>
      <c r="D59" s="5" t="s">
        <v>228</v>
      </c>
      <c r="E59" s="5" t="s">
        <v>133</v>
      </c>
      <c r="F59" s="5" t="s">
        <v>2287</v>
      </c>
      <c r="G59" s="5"/>
      <c r="H59" s="5">
        <v>2599</v>
      </c>
      <c r="I59" s="5" t="s">
        <v>230</v>
      </c>
      <c r="J59" s="5" t="s">
        <v>212</v>
      </c>
      <c r="K59" s="5">
        <v>4.3</v>
      </c>
      <c r="L59" s="5">
        <v>986</v>
      </c>
      <c r="M59" s="5">
        <v>0.62</v>
      </c>
      <c r="N59" s="5">
        <v>1790.0851063829789</v>
      </c>
      <c r="O59" s="5"/>
      <c r="P59" s="5" t="s">
        <v>212</v>
      </c>
      <c r="Q59" s="5" t="s">
        <v>55</v>
      </c>
      <c r="R59" s="5" t="s">
        <v>129</v>
      </c>
      <c r="S59" s="7" t="s">
        <v>2288</v>
      </c>
    </row>
    <row r="60" spans="1:19" x14ac:dyDescent="0.35">
      <c r="A60" s="6">
        <v>12027772</v>
      </c>
      <c r="B60" s="5" t="s">
        <v>190</v>
      </c>
      <c r="C60" s="5" t="s">
        <v>142</v>
      </c>
      <c r="D60" s="5" t="s">
        <v>141</v>
      </c>
      <c r="E60" s="5" t="s">
        <v>140</v>
      </c>
      <c r="F60" s="5" t="s">
        <v>2285</v>
      </c>
      <c r="G60" s="5">
        <v>493</v>
      </c>
      <c r="H60" s="5">
        <v>1049</v>
      </c>
      <c r="I60" s="5" t="s">
        <v>381</v>
      </c>
      <c r="J60" s="5" t="s">
        <v>145</v>
      </c>
      <c r="K60" s="5">
        <v>4.2</v>
      </c>
      <c r="L60" s="5">
        <v>985</v>
      </c>
      <c r="M60" s="5">
        <v>0.53</v>
      </c>
      <c r="N60" s="5">
        <v>1138.6340612208289</v>
      </c>
      <c r="O60" s="5">
        <v>493</v>
      </c>
      <c r="P60" s="5" t="s">
        <v>145</v>
      </c>
      <c r="Q60" s="5" t="s">
        <v>55</v>
      </c>
      <c r="R60" s="5" t="s">
        <v>129</v>
      </c>
      <c r="S60" s="7" t="s">
        <v>2286</v>
      </c>
    </row>
    <row r="61" spans="1:19" x14ac:dyDescent="0.35">
      <c r="A61" s="6">
        <v>2429098</v>
      </c>
      <c r="B61" s="5" t="s">
        <v>190</v>
      </c>
      <c r="C61" s="5" t="s">
        <v>142</v>
      </c>
      <c r="D61" s="5" t="s">
        <v>141</v>
      </c>
      <c r="E61" s="5" t="s">
        <v>140</v>
      </c>
      <c r="F61" s="5" t="s">
        <v>2283</v>
      </c>
      <c r="G61" s="5">
        <v>699</v>
      </c>
      <c r="H61" s="5">
        <v>999</v>
      </c>
      <c r="I61" s="5" t="s">
        <v>218</v>
      </c>
      <c r="J61" s="5" t="s">
        <v>145</v>
      </c>
      <c r="K61" s="5">
        <v>4</v>
      </c>
      <c r="L61" s="5">
        <v>985</v>
      </c>
      <c r="M61" s="5">
        <v>0.3</v>
      </c>
      <c r="N61" s="5">
        <v>1138.6340612208289</v>
      </c>
      <c r="O61" s="5">
        <v>699</v>
      </c>
      <c r="P61" s="5" t="s">
        <v>145</v>
      </c>
      <c r="Q61" s="5" t="s">
        <v>57</v>
      </c>
      <c r="R61" s="5" t="s">
        <v>129</v>
      </c>
      <c r="S61" s="7" t="s">
        <v>2284</v>
      </c>
    </row>
    <row r="62" spans="1:19" x14ac:dyDescent="0.35">
      <c r="A62" s="6">
        <v>11530828</v>
      </c>
      <c r="B62" s="5" t="s">
        <v>1212</v>
      </c>
      <c r="C62" s="5" t="s">
        <v>135</v>
      </c>
      <c r="D62" s="5" t="s">
        <v>168</v>
      </c>
      <c r="E62" s="5" t="s">
        <v>133</v>
      </c>
      <c r="F62" s="5" t="s">
        <v>2281</v>
      </c>
      <c r="G62" s="5">
        <v>581</v>
      </c>
      <c r="H62" s="5">
        <v>1660</v>
      </c>
      <c r="I62" s="5" t="s">
        <v>197</v>
      </c>
      <c r="J62" s="5" t="s">
        <v>391</v>
      </c>
      <c r="K62" s="5">
        <v>4.3</v>
      </c>
      <c r="L62" s="5">
        <v>985</v>
      </c>
      <c r="M62" s="5">
        <v>0.65</v>
      </c>
      <c r="N62" s="5">
        <v>1493.337491012077</v>
      </c>
      <c r="O62" s="5">
        <v>581</v>
      </c>
      <c r="P62" s="5" t="s">
        <v>391</v>
      </c>
      <c r="Q62" s="5" t="s">
        <v>55</v>
      </c>
      <c r="R62" s="5" t="s">
        <v>129</v>
      </c>
      <c r="S62" s="7" t="s">
        <v>2282</v>
      </c>
    </row>
    <row r="63" spans="1:19" x14ac:dyDescent="0.35">
      <c r="A63" s="6">
        <v>130968</v>
      </c>
      <c r="B63" s="5" t="s">
        <v>883</v>
      </c>
      <c r="C63" s="5" t="s">
        <v>273</v>
      </c>
      <c r="D63" s="5" t="s">
        <v>272</v>
      </c>
      <c r="E63" s="5" t="s">
        <v>133</v>
      </c>
      <c r="F63" s="5" t="s">
        <v>2279</v>
      </c>
      <c r="G63" s="5"/>
      <c r="H63" s="5">
        <v>779</v>
      </c>
      <c r="I63" s="5"/>
      <c r="J63" s="5" t="s">
        <v>2278</v>
      </c>
      <c r="K63" s="5">
        <v>4.4000000000000004</v>
      </c>
      <c r="L63" s="5">
        <v>985</v>
      </c>
      <c r="M63" s="5"/>
      <c r="N63" s="5">
        <v>811.90284167198604</v>
      </c>
      <c r="O63" s="5">
        <v>811.90284167198604</v>
      </c>
      <c r="P63" s="5" t="s">
        <v>2278</v>
      </c>
      <c r="Q63" s="5" t="s">
        <v>57</v>
      </c>
      <c r="R63" s="5" t="s">
        <v>129</v>
      </c>
      <c r="S63" s="7" t="s">
        <v>2280</v>
      </c>
    </row>
    <row r="64" spans="1:19" x14ac:dyDescent="0.35">
      <c r="A64" s="6">
        <v>8350055</v>
      </c>
      <c r="B64" s="5" t="s">
        <v>180</v>
      </c>
      <c r="C64" s="5" t="s">
        <v>235</v>
      </c>
      <c r="D64" s="5" t="s">
        <v>377</v>
      </c>
      <c r="E64" s="5" t="s">
        <v>133</v>
      </c>
      <c r="F64" s="5" t="s">
        <v>2276</v>
      </c>
      <c r="G64" s="5">
        <v>2924</v>
      </c>
      <c r="H64" s="5">
        <v>4499</v>
      </c>
      <c r="I64" s="5" t="s">
        <v>205</v>
      </c>
      <c r="J64" s="5" t="s">
        <v>177</v>
      </c>
      <c r="K64" s="5">
        <v>4</v>
      </c>
      <c r="L64" s="5">
        <v>985</v>
      </c>
      <c r="M64" s="5">
        <v>0.35</v>
      </c>
      <c r="N64" s="5">
        <v>923.69459774582197</v>
      </c>
      <c r="O64" s="5">
        <v>2924</v>
      </c>
      <c r="P64" s="5" t="s">
        <v>177</v>
      </c>
      <c r="Q64" s="5" t="s">
        <v>57</v>
      </c>
      <c r="R64" s="5" t="s">
        <v>129</v>
      </c>
      <c r="S64" s="7" t="s">
        <v>2277</v>
      </c>
    </row>
    <row r="65" spans="1:19" x14ac:dyDescent="0.35">
      <c r="A65" s="6">
        <v>10856472</v>
      </c>
      <c r="B65" s="5" t="s">
        <v>250</v>
      </c>
      <c r="C65" s="5" t="s">
        <v>163</v>
      </c>
      <c r="D65" s="5" t="s">
        <v>194</v>
      </c>
      <c r="E65" s="5" t="s">
        <v>133</v>
      </c>
      <c r="F65" s="5" t="s">
        <v>2274</v>
      </c>
      <c r="G65" s="5"/>
      <c r="H65" s="5">
        <v>1499</v>
      </c>
      <c r="I65" s="5" t="s">
        <v>223</v>
      </c>
      <c r="J65" s="5" t="s">
        <v>192</v>
      </c>
      <c r="K65" s="5">
        <v>4</v>
      </c>
      <c r="L65" s="5">
        <v>985</v>
      </c>
      <c r="M65" s="5">
        <v>0.6</v>
      </c>
      <c r="N65" s="5">
        <v>1790.0851063829789</v>
      </c>
      <c r="O65" s="5"/>
      <c r="P65" s="5" t="s">
        <v>192</v>
      </c>
      <c r="Q65" s="5" t="s">
        <v>55</v>
      </c>
      <c r="R65" s="5" t="s">
        <v>129</v>
      </c>
      <c r="S65" s="7" t="s">
        <v>2275</v>
      </c>
    </row>
    <row r="66" spans="1:19" x14ac:dyDescent="0.35">
      <c r="A66" s="6">
        <v>6687412</v>
      </c>
      <c r="B66" s="5" t="s">
        <v>250</v>
      </c>
      <c r="C66" s="5" t="s">
        <v>142</v>
      </c>
      <c r="D66" s="5" t="s">
        <v>141</v>
      </c>
      <c r="E66" s="5" t="s">
        <v>140</v>
      </c>
      <c r="F66" s="5" t="s">
        <v>2272</v>
      </c>
      <c r="G66" s="5"/>
      <c r="H66" s="5">
        <v>999</v>
      </c>
      <c r="I66" s="5"/>
      <c r="J66" s="5" t="s">
        <v>276</v>
      </c>
      <c r="K66" s="5">
        <v>4</v>
      </c>
      <c r="L66" s="5">
        <v>984</v>
      </c>
      <c r="M66" s="5"/>
      <c r="N66" s="5">
        <v>1138.6340612208289</v>
      </c>
      <c r="O66" s="5">
        <v>1138.6340612208289</v>
      </c>
      <c r="P66" s="5" t="s">
        <v>276</v>
      </c>
      <c r="Q66" s="5" t="s">
        <v>57</v>
      </c>
      <c r="R66" s="5" t="s">
        <v>129</v>
      </c>
      <c r="S66" s="7" t="s">
        <v>2273</v>
      </c>
    </row>
    <row r="67" spans="1:19" x14ac:dyDescent="0.35">
      <c r="A67" s="6">
        <v>11174094</v>
      </c>
      <c r="B67" s="5" t="s">
        <v>180</v>
      </c>
      <c r="C67" s="5" t="s">
        <v>135</v>
      </c>
      <c r="D67" s="5" t="s">
        <v>228</v>
      </c>
      <c r="E67" s="5" t="s">
        <v>133</v>
      </c>
      <c r="F67" s="5" t="s">
        <v>2270</v>
      </c>
      <c r="G67" s="5">
        <v>799</v>
      </c>
      <c r="H67" s="5">
        <v>1999</v>
      </c>
      <c r="I67" s="5" t="s">
        <v>223</v>
      </c>
      <c r="J67" s="5" t="s">
        <v>177</v>
      </c>
      <c r="K67" s="5">
        <v>4.3</v>
      </c>
      <c r="L67" s="5">
        <v>984</v>
      </c>
      <c r="M67" s="5">
        <v>0.6</v>
      </c>
      <c r="N67" s="5">
        <v>1493.337491012077</v>
      </c>
      <c r="O67" s="5">
        <v>799</v>
      </c>
      <c r="P67" s="5" t="s">
        <v>177</v>
      </c>
      <c r="Q67" s="5" t="s">
        <v>55</v>
      </c>
      <c r="R67" s="5" t="s">
        <v>129</v>
      </c>
      <c r="S67" s="7" t="s">
        <v>2271</v>
      </c>
    </row>
    <row r="68" spans="1:19" x14ac:dyDescent="0.35">
      <c r="A68" s="6">
        <v>13141478</v>
      </c>
      <c r="B68" s="5" t="s">
        <v>2268</v>
      </c>
      <c r="C68" s="5" t="s">
        <v>135</v>
      </c>
      <c r="D68" s="5" t="s">
        <v>377</v>
      </c>
      <c r="E68" s="5" t="s">
        <v>133</v>
      </c>
      <c r="F68" s="5" t="s">
        <v>2267</v>
      </c>
      <c r="G68" s="5">
        <v>1429</v>
      </c>
      <c r="H68" s="5">
        <v>2599</v>
      </c>
      <c r="I68" s="5" t="s">
        <v>36</v>
      </c>
      <c r="J68" s="5" t="s">
        <v>177</v>
      </c>
      <c r="K68" s="5">
        <v>4.2</v>
      </c>
      <c r="L68" s="5">
        <v>984</v>
      </c>
      <c r="M68" s="5">
        <v>0.45</v>
      </c>
      <c r="N68" s="5">
        <v>1493.337491012077</v>
      </c>
      <c r="O68" s="5">
        <v>1429</v>
      </c>
      <c r="P68" s="5" t="s">
        <v>177</v>
      </c>
      <c r="Q68" s="5" t="s">
        <v>57</v>
      </c>
      <c r="R68" s="5" t="s">
        <v>129</v>
      </c>
      <c r="S68" s="7" t="s">
        <v>2269</v>
      </c>
    </row>
    <row r="69" spans="1:19" x14ac:dyDescent="0.35">
      <c r="A69" s="6">
        <v>2439141</v>
      </c>
      <c r="B69" s="5" t="s">
        <v>250</v>
      </c>
      <c r="C69" s="5" t="s">
        <v>163</v>
      </c>
      <c r="D69" s="5" t="s">
        <v>77</v>
      </c>
      <c r="E69" s="5" t="s">
        <v>133</v>
      </c>
      <c r="F69" s="5" t="s">
        <v>2265</v>
      </c>
      <c r="G69" s="5"/>
      <c r="H69" s="5">
        <v>599</v>
      </c>
      <c r="I69" s="5" t="s">
        <v>223</v>
      </c>
      <c r="J69" s="5" t="s">
        <v>192</v>
      </c>
      <c r="K69" s="5">
        <v>4.2</v>
      </c>
      <c r="L69" s="5">
        <v>984</v>
      </c>
      <c r="M69" s="5">
        <v>0.6</v>
      </c>
      <c r="N69" s="5">
        <v>1790.0851063829789</v>
      </c>
      <c r="O69" s="5"/>
      <c r="P69" s="5" t="s">
        <v>192</v>
      </c>
      <c r="Q69" s="5" t="s">
        <v>55</v>
      </c>
      <c r="R69" s="5" t="s">
        <v>129</v>
      </c>
      <c r="S69" s="7" t="s">
        <v>2266</v>
      </c>
    </row>
    <row r="70" spans="1:19" x14ac:dyDescent="0.35">
      <c r="A70" s="6">
        <v>11903990</v>
      </c>
      <c r="B70" s="5" t="s">
        <v>250</v>
      </c>
      <c r="C70" s="5" t="s">
        <v>142</v>
      </c>
      <c r="D70" s="5" t="s">
        <v>141</v>
      </c>
      <c r="E70" s="5" t="s">
        <v>140</v>
      </c>
      <c r="F70" s="5" t="s">
        <v>2263</v>
      </c>
      <c r="G70" s="5">
        <v>659</v>
      </c>
      <c r="H70" s="5">
        <v>1199</v>
      </c>
      <c r="I70" s="5" t="s">
        <v>36</v>
      </c>
      <c r="J70" s="5" t="s">
        <v>348</v>
      </c>
      <c r="K70" s="5">
        <v>4.2</v>
      </c>
      <c r="L70" s="5">
        <v>983</v>
      </c>
      <c r="M70" s="5">
        <v>0.45</v>
      </c>
      <c r="N70" s="5">
        <v>1138.6340612208289</v>
      </c>
      <c r="O70" s="5">
        <v>659</v>
      </c>
      <c r="P70" s="5" t="s">
        <v>348</v>
      </c>
      <c r="Q70" s="5" t="s">
        <v>57</v>
      </c>
      <c r="R70" s="5" t="s">
        <v>129</v>
      </c>
      <c r="S70" s="7" t="s">
        <v>2264</v>
      </c>
    </row>
    <row r="71" spans="1:19" x14ac:dyDescent="0.35">
      <c r="A71" s="6">
        <v>12337118</v>
      </c>
      <c r="B71" s="5" t="s">
        <v>460</v>
      </c>
      <c r="C71" s="5" t="s">
        <v>135</v>
      </c>
      <c r="D71" s="5" t="s">
        <v>377</v>
      </c>
      <c r="E71" s="5" t="s">
        <v>133</v>
      </c>
      <c r="F71" s="5" t="s">
        <v>2261</v>
      </c>
      <c r="G71" s="5">
        <v>774</v>
      </c>
      <c r="H71" s="5">
        <v>3099</v>
      </c>
      <c r="I71" s="5" t="s">
        <v>310</v>
      </c>
      <c r="J71" s="5" t="s">
        <v>196</v>
      </c>
      <c r="K71" s="5">
        <v>4.2</v>
      </c>
      <c r="L71" s="5">
        <v>983</v>
      </c>
      <c r="M71" s="5">
        <v>0.75</v>
      </c>
      <c r="N71" s="5">
        <v>1493.337491012077</v>
      </c>
      <c r="O71" s="5">
        <v>774</v>
      </c>
      <c r="P71" s="5" t="s">
        <v>196</v>
      </c>
      <c r="Q71" s="5" t="s">
        <v>55</v>
      </c>
      <c r="R71" s="5" t="s">
        <v>129</v>
      </c>
      <c r="S71" s="7" t="s">
        <v>2262</v>
      </c>
    </row>
    <row r="72" spans="1:19" x14ac:dyDescent="0.35">
      <c r="A72" s="6">
        <v>12650884</v>
      </c>
      <c r="B72" s="5" t="s">
        <v>143</v>
      </c>
      <c r="C72" s="5" t="s">
        <v>235</v>
      </c>
      <c r="D72" s="5" t="s">
        <v>194</v>
      </c>
      <c r="E72" s="5" t="s">
        <v>133</v>
      </c>
      <c r="F72" s="5" t="s">
        <v>2259</v>
      </c>
      <c r="G72" s="5">
        <v>719</v>
      </c>
      <c r="H72" s="5">
        <v>1799</v>
      </c>
      <c r="I72" s="5" t="s">
        <v>314</v>
      </c>
      <c r="J72" s="5" t="s">
        <v>196</v>
      </c>
      <c r="K72" s="5">
        <v>4.2</v>
      </c>
      <c r="L72" s="5">
        <v>983</v>
      </c>
      <c r="M72" s="5">
        <v>0.6</v>
      </c>
      <c r="N72" s="5">
        <v>923.69459774582197</v>
      </c>
      <c r="O72" s="5">
        <v>719</v>
      </c>
      <c r="P72" s="5" t="s">
        <v>196</v>
      </c>
      <c r="Q72" s="5" t="s">
        <v>55</v>
      </c>
      <c r="R72" s="5" t="s">
        <v>129</v>
      </c>
      <c r="S72" s="7" t="s">
        <v>2260</v>
      </c>
    </row>
    <row r="73" spans="1:19" x14ac:dyDescent="0.35">
      <c r="A73" s="6">
        <v>8350425</v>
      </c>
      <c r="B73" s="5" t="s">
        <v>180</v>
      </c>
      <c r="C73" s="5" t="s">
        <v>235</v>
      </c>
      <c r="D73" s="5" t="s">
        <v>168</v>
      </c>
      <c r="E73" s="5" t="s">
        <v>133</v>
      </c>
      <c r="F73" s="5" t="s">
        <v>2257</v>
      </c>
      <c r="G73" s="5">
        <v>999</v>
      </c>
      <c r="H73" s="5">
        <v>3999</v>
      </c>
      <c r="I73" s="5" t="s">
        <v>310</v>
      </c>
      <c r="J73" s="5" t="s">
        <v>177</v>
      </c>
      <c r="K73" s="5">
        <v>4.2</v>
      </c>
      <c r="L73" s="5">
        <v>983</v>
      </c>
      <c r="M73" s="5">
        <v>0.75</v>
      </c>
      <c r="N73" s="5">
        <v>923.69459774582197</v>
      </c>
      <c r="O73" s="5">
        <v>999</v>
      </c>
      <c r="P73" s="5" t="s">
        <v>177</v>
      </c>
      <c r="Q73" s="5" t="s">
        <v>55</v>
      </c>
      <c r="R73" s="5" t="s">
        <v>129</v>
      </c>
      <c r="S73" s="7" t="s">
        <v>2258</v>
      </c>
    </row>
    <row r="74" spans="1:19" x14ac:dyDescent="0.35">
      <c r="A74" s="6">
        <v>17381750</v>
      </c>
      <c r="B74" s="5" t="s">
        <v>250</v>
      </c>
      <c r="C74" s="5" t="s">
        <v>163</v>
      </c>
      <c r="D74" s="5" t="s">
        <v>77</v>
      </c>
      <c r="E74" s="5" t="s">
        <v>133</v>
      </c>
      <c r="F74" s="5" t="s">
        <v>2255</v>
      </c>
      <c r="G74" s="5"/>
      <c r="H74" s="5">
        <v>1998</v>
      </c>
      <c r="I74" s="5"/>
      <c r="J74" s="5" t="s">
        <v>192</v>
      </c>
      <c r="K74" s="5">
        <v>4.2</v>
      </c>
      <c r="L74" s="5">
        <v>983</v>
      </c>
      <c r="M74" s="5"/>
      <c r="N74" s="5">
        <v>1790.0851063829789</v>
      </c>
      <c r="O74" s="5">
        <v>1790.0851063829789</v>
      </c>
      <c r="P74" s="5" t="s">
        <v>192</v>
      </c>
      <c r="Q74" s="5" t="s">
        <v>57</v>
      </c>
      <c r="R74" s="5" t="s">
        <v>129</v>
      </c>
      <c r="S74" s="7" t="s">
        <v>2256</v>
      </c>
    </row>
    <row r="75" spans="1:19" x14ac:dyDescent="0.35">
      <c r="A75" s="6">
        <v>6832275</v>
      </c>
      <c r="B75" s="5" t="s">
        <v>183</v>
      </c>
      <c r="C75" s="5" t="s">
        <v>189</v>
      </c>
      <c r="D75" s="5" t="s">
        <v>162</v>
      </c>
      <c r="E75" s="5" t="s">
        <v>140</v>
      </c>
      <c r="F75" s="5" t="s">
        <v>2253</v>
      </c>
      <c r="G75" s="5">
        <v>1539</v>
      </c>
      <c r="H75" s="5">
        <v>2799</v>
      </c>
      <c r="I75" s="5" t="s">
        <v>36</v>
      </c>
      <c r="J75" s="5" t="s">
        <v>502</v>
      </c>
      <c r="K75" s="5">
        <v>3.9</v>
      </c>
      <c r="L75" s="5">
        <v>982</v>
      </c>
      <c r="M75" s="5">
        <v>0.45</v>
      </c>
      <c r="N75" s="5">
        <v>1351.2078667815099</v>
      </c>
      <c r="O75" s="5">
        <v>1539</v>
      </c>
      <c r="P75" s="5" t="s">
        <v>502</v>
      </c>
      <c r="Q75" s="5" t="s">
        <v>57</v>
      </c>
      <c r="R75" s="5" t="s">
        <v>129</v>
      </c>
      <c r="S75" s="7" t="s">
        <v>2254</v>
      </c>
    </row>
    <row r="76" spans="1:19" x14ac:dyDescent="0.35">
      <c r="A76" s="6">
        <v>7256007</v>
      </c>
      <c r="B76" s="5" t="s">
        <v>250</v>
      </c>
      <c r="C76" s="5" t="s">
        <v>142</v>
      </c>
      <c r="D76" s="5" t="s">
        <v>141</v>
      </c>
      <c r="E76" s="5" t="s">
        <v>140</v>
      </c>
      <c r="F76" s="5" t="s">
        <v>2251</v>
      </c>
      <c r="G76" s="5"/>
      <c r="H76" s="5">
        <v>524</v>
      </c>
      <c r="I76" s="5"/>
      <c r="J76" s="5" t="s">
        <v>348</v>
      </c>
      <c r="K76" s="5">
        <v>4.0999999999999996</v>
      </c>
      <c r="L76" s="5">
        <v>982</v>
      </c>
      <c r="M76" s="5"/>
      <c r="N76" s="5">
        <v>1138.6340612208289</v>
      </c>
      <c r="O76" s="5">
        <v>1138.6340612208289</v>
      </c>
      <c r="P76" s="5" t="s">
        <v>348</v>
      </c>
      <c r="Q76" s="5" t="s">
        <v>57</v>
      </c>
      <c r="R76" s="5" t="s">
        <v>129</v>
      </c>
      <c r="S76" s="7" t="s">
        <v>2252</v>
      </c>
    </row>
    <row r="77" spans="1:19" x14ac:dyDescent="0.35">
      <c r="A77" s="6">
        <v>13035312</v>
      </c>
      <c r="B77" s="5" t="s">
        <v>164</v>
      </c>
      <c r="C77" s="5" t="s">
        <v>163</v>
      </c>
      <c r="D77" s="5" t="s">
        <v>188</v>
      </c>
      <c r="E77" s="5" t="s">
        <v>133</v>
      </c>
      <c r="F77" s="5" t="s">
        <v>2249</v>
      </c>
      <c r="G77" s="5"/>
      <c r="H77" s="5">
        <v>1549</v>
      </c>
      <c r="I77" s="5" t="s">
        <v>319</v>
      </c>
      <c r="J77" s="5" t="s">
        <v>159</v>
      </c>
      <c r="K77" s="5">
        <v>4</v>
      </c>
      <c r="L77" s="5">
        <v>982</v>
      </c>
      <c r="M77" s="5">
        <v>0.57999999999999996</v>
      </c>
      <c r="N77" s="5">
        <v>1790.0851063829789</v>
      </c>
      <c r="O77" s="5"/>
      <c r="P77" s="5" t="s">
        <v>159</v>
      </c>
      <c r="Q77" s="5" t="s">
        <v>55</v>
      </c>
      <c r="R77" s="5" t="s">
        <v>129</v>
      </c>
      <c r="S77" s="7" t="s">
        <v>2250</v>
      </c>
    </row>
    <row r="78" spans="1:19" x14ac:dyDescent="0.35">
      <c r="A78" s="6">
        <v>11045892</v>
      </c>
      <c r="B78" s="5" t="s">
        <v>250</v>
      </c>
      <c r="C78" s="5" t="s">
        <v>163</v>
      </c>
      <c r="D78" s="5" t="s">
        <v>162</v>
      </c>
      <c r="E78" s="5" t="s">
        <v>133</v>
      </c>
      <c r="F78" s="5" t="s">
        <v>2247</v>
      </c>
      <c r="G78" s="5"/>
      <c r="H78" s="5">
        <v>2699</v>
      </c>
      <c r="I78" s="5" t="s">
        <v>310</v>
      </c>
      <c r="J78" s="5" t="s">
        <v>222</v>
      </c>
      <c r="K78" s="5">
        <v>3.8</v>
      </c>
      <c r="L78" s="5">
        <v>982</v>
      </c>
      <c r="M78" s="5">
        <v>0.75</v>
      </c>
      <c r="N78" s="5">
        <v>1790.0851063829789</v>
      </c>
      <c r="O78" s="5"/>
      <c r="P78" s="5" t="s">
        <v>222</v>
      </c>
      <c r="Q78" s="5" t="s">
        <v>55</v>
      </c>
      <c r="R78" s="5" t="s">
        <v>129</v>
      </c>
      <c r="S78" s="7" t="s">
        <v>2248</v>
      </c>
    </row>
    <row r="79" spans="1:19" x14ac:dyDescent="0.35">
      <c r="A79" s="6">
        <v>11157486</v>
      </c>
      <c r="B79" s="5" t="s">
        <v>302</v>
      </c>
      <c r="C79" s="5" t="s">
        <v>163</v>
      </c>
      <c r="D79" s="5" t="s">
        <v>194</v>
      </c>
      <c r="E79" s="5" t="s">
        <v>133</v>
      </c>
      <c r="F79" s="5" t="s">
        <v>2245</v>
      </c>
      <c r="G79" s="5"/>
      <c r="H79" s="5">
        <v>999</v>
      </c>
      <c r="I79" s="5" t="s">
        <v>509</v>
      </c>
      <c r="J79" s="5" t="s">
        <v>192</v>
      </c>
      <c r="K79" s="5">
        <v>4.4000000000000004</v>
      </c>
      <c r="L79" s="5">
        <v>982</v>
      </c>
      <c r="M79" s="5">
        <v>0.45</v>
      </c>
      <c r="N79" s="5">
        <v>1790.0851063829789</v>
      </c>
      <c r="O79" s="5"/>
      <c r="P79" s="5" t="s">
        <v>192</v>
      </c>
      <c r="Q79" s="5" t="s">
        <v>57</v>
      </c>
      <c r="R79" s="5" t="s">
        <v>129</v>
      </c>
      <c r="S79" s="7" t="s">
        <v>2246</v>
      </c>
    </row>
    <row r="80" spans="1:19" x14ac:dyDescent="0.35">
      <c r="A80" s="6">
        <v>11363302</v>
      </c>
      <c r="B80" s="5" t="s">
        <v>183</v>
      </c>
      <c r="C80" s="5" t="s">
        <v>142</v>
      </c>
      <c r="D80" s="5" t="s">
        <v>77</v>
      </c>
      <c r="E80" s="5" t="s">
        <v>140</v>
      </c>
      <c r="F80" s="5" t="s">
        <v>2243</v>
      </c>
      <c r="G80" s="5">
        <v>649</v>
      </c>
      <c r="H80" s="5">
        <v>1299</v>
      </c>
      <c r="I80" s="5" t="s">
        <v>209</v>
      </c>
      <c r="J80" s="5" t="s">
        <v>150</v>
      </c>
      <c r="K80" s="5">
        <v>4.3</v>
      </c>
      <c r="L80" s="5">
        <v>981</v>
      </c>
      <c r="M80" s="5">
        <v>0.5</v>
      </c>
      <c r="N80" s="5">
        <v>1138.6340612208289</v>
      </c>
      <c r="O80" s="5">
        <v>649</v>
      </c>
      <c r="P80" s="5" t="s">
        <v>150</v>
      </c>
      <c r="Q80" s="5" t="s">
        <v>57</v>
      </c>
      <c r="R80" s="5" t="s">
        <v>129</v>
      </c>
      <c r="S80" s="7" t="s">
        <v>2244</v>
      </c>
    </row>
    <row r="81" spans="1:19" x14ac:dyDescent="0.35">
      <c r="A81" s="6">
        <v>12412864</v>
      </c>
      <c r="B81" s="5" t="s">
        <v>308</v>
      </c>
      <c r="C81" s="5" t="s">
        <v>135</v>
      </c>
      <c r="D81" s="5" t="s">
        <v>168</v>
      </c>
      <c r="E81" s="5" t="s">
        <v>133</v>
      </c>
      <c r="F81" s="5" t="s">
        <v>2241</v>
      </c>
      <c r="G81" s="5">
        <v>579</v>
      </c>
      <c r="H81" s="5">
        <v>1999</v>
      </c>
      <c r="I81" s="5" t="s">
        <v>1050</v>
      </c>
      <c r="J81" s="5" t="s">
        <v>150</v>
      </c>
      <c r="K81" s="5">
        <v>4.3</v>
      </c>
      <c r="L81" s="5">
        <v>981</v>
      </c>
      <c r="M81" s="5">
        <v>0.71</v>
      </c>
      <c r="N81" s="5">
        <v>1493.337491012077</v>
      </c>
      <c r="O81" s="5">
        <v>579</v>
      </c>
      <c r="P81" s="5" t="s">
        <v>150</v>
      </c>
      <c r="Q81" s="5" t="s">
        <v>55</v>
      </c>
      <c r="R81" s="5" t="s">
        <v>129</v>
      </c>
      <c r="S81" s="7" t="s">
        <v>2242</v>
      </c>
    </row>
    <row r="82" spans="1:19" x14ac:dyDescent="0.35">
      <c r="A82" s="6">
        <v>7569310</v>
      </c>
      <c r="B82" s="5" t="s">
        <v>329</v>
      </c>
      <c r="C82" s="5" t="s">
        <v>273</v>
      </c>
      <c r="D82" s="5" t="s">
        <v>1496</v>
      </c>
      <c r="E82" s="5" t="s">
        <v>133</v>
      </c>
      <c r="F82" s="5" t="s">
        <v>2239</v>
      </c>
      <c r="G82" s="5">
        <v>746</v>
      </c>
      <c r="H82" s="5">
        <v>995</v>
      </c>
      <c r="I82" s="5" t="s">
        <v>573</v>
      </c>
      <c r="J82" s="5" t="s">
        <v>150</v>
      </c>
      <c r="K82" s="5">
        <v>3.9</v>
      </c>
      <c r="L82" s="5">
        <v>981</v>
      </c>
      <c r="M82" s="5">
        <v>0.25</v>
      </c>
      <c r="N82" s="5">
        <v>811.90284167198604</v>
      </c>
      <c r="O82" s="5">
        <v>746</v>
      </c>
      <c r="P82" s="5" t="s">
        <v>150</v>
      </c>
      <c r="Q82" s="5" t="s">
        <v>57</v>
      </c>
      <c r="R82" s="5" t="s">
        <v>129</v>
      </c>
      <c r="S82" s="7" t="s">
        <v>2240</v>
      </c>
    </row>
    <row r="83" spans="1:19" x14ac:dyDescent="0.35">
      <c r="A83" s="6">
        <v>7102379</v>
      </c>
      <c r="B83" s="5" t="s">
        <v>143</v>
      </c>
      <c r="C83" s="5" t="s">
        <v>235</v>
      </c>
      <c r="D83" s="5" t="s">
        <v>194</v>
      </c>
      <c r="E83" s="5" t="s">
        <v>133</v>
      </c>
      <c r="F83" s="5" t="s">
        <v>2237</v>
      </c>
      <c r="G83" s="5">
        <v>629</v>
      </c>
      <c r="H83" s="5">
        <v>1399</v>
      </c>
      <c r="I83" s="5" t="s">
        <v>178</v>
      </c>
      <c r="J83" s="5" t="s">
        <v>177</v>
      </c>
      <c r="K83" s="5">
        <v>4.2</v>
      </c>
      <c r="L83" s="5">
        <v>981</v>
      </c>
      <c r="M83" s="5">
        <v>0.55000000000000004</v>
      </c>
      <c r="N83" s="5">
        <v>923.69459774582197</v>
      </c>
      <c r="O83" s="5">
        <v>629</v>
      </c>
      <c r="P83" s="5" t="s">
        <v>177</v>
      </c>
      <c r="Q83" s="5" t="s">
        <v>55</v>
      </c>
      <c r="R83" s="5" t="s">
        <v>129</v>
      </c>
      <c r="S83" s="7" t="s">
        <v>2238</v>
      </c>
    </row>
    <row r="84" spans="1:19" x14ac:dyDescent="0.35">
      <c r="A84" s="6">
        <v>9240973</v>
      </c>
      <c r="B84" s="5" t="s">
        <v>522</v>
      </c>
      <c r="C84" s="5" t="s">
        <v>163</v>
      </c>
      <c r="D84" s="5" t="s">
        <v>194</v>
      </c>
      <c r="E84" s="5" t="s">
        <v>133</v>
      </c>
      <c r="F84" s="5" t="s">
        <v>2235</v>
      </c>
      <c r="G84" s="5"/>
      <c r="H84" s="5">
        <v>1599</v>
      </c>
      <c r="I84" s="5" t="s">
        <v>205</v>
      </c>
      <c r="J84" s="5" t="s">
        <v>150</v>
      </c>
      <c r="K84" s="5">
        <v>4.2</v>
      </c>
      <c r="L84" s="5">
        <v>981</v>
      </c>
      <c r="M84" s="5">
        <v>0.35</v>
      </c>
      <c r="N84" s="5">
        <v>1790.0851063829789</v>
      </c>
      <c r="O84" s="5"/>
      <c r="P84" s="5" t="s">
        <v>150</v>
      </c>
      <c r="Q84" s="5" t="s">
        <v>57</v>
      </c>
      <c r="R84" s="5" t="s">
        <v>129</v>
      </c>
      <c r="S84" s="7" t="s">
        <v>2236</v>
      </c>
    </row>
    <row r="85" spans="1:19" x14ac:dyDescent="0.35">
      <c r="A85" s="6">
        <v>12222046</v>
      </c>
      <c r="B85" s="5" t="s">
        <v>472</v>
      </c>
      <c r="C85" s="5" t="s">
        <v>163</v>
      </c>
      <c r="D85" s="5" t="s">
        <v>493</v>
      </c>
      <c r="E85" s="5" t="s">
        <v>133</v>
      </c>
      <c r="F85" s="5" t="s">
        <v>2233</v>
      </c>
      <c r="G85" s="5"/>
      <c r="H85" s="5">
        <v>1799</v>
      </c>
      <c r="I85" s="5" t="s">
        <v>223</v>
      </c>
      <c r="J85" s="5" t="s">
        <v>196</v>
      </c>
      <c r="K85" s="5">
        <v>4.5</v>
      </c>
      <c r="L85" s="5">
        <v>981</v>
      </c>
      <c r="M85" s="5">
        <v>0.6</v>
      </c>
      <c r="N85" s="5">
        <v>1790.0851063829789</v>
      </c>
      <c r="O85" s="5"/>
      <c r="P85" s="5" t="s">
        <v>196</v>
      </c>
      <c r="Q85" s="5" t="s">
        <v>55</v>
      </c>
      <c r="R85" s="5" t="s">
        <v>129</v>
      </c>
      <c r="S85" s="7" t="s">
        <v>2234</v>
      </c>
    </row>
    <row r="86" spans="1:19" x14ac:dyDescent="0.35">
      <c r="A86" s="6">
        <v>7772505</v>
      </c>
      <c r="B86" s="5" t="s">
        <v>424</v>
      </c>
      <c r="C86" s="5" t="s">
        <v>163</v>
      </c>
      <c r="D86" s="5" t="s">
        <v>493</v>
      </c>
      <c r="E86" s="5" t="s">
        <v>133</v>
      </c>
      <c r="F86" s="5" t="s">
        <v>2231</v>
      </c>
      <c r="G86" s="5"/>
      <c r="H86" s="5">
        <v>1999</v>
      </c>
      <c r="I86" s="5" t="s">
        <v>209</v>
      </c>
      <c r="J86" s="5" t="s">
        <v>192</v>
      </c>
      <c r="K86" s="5">
        <v>4.3</v>
      </c>
      <c r="L86" s="5">
        <v>981</v>
      </c>
      <c r="M86" s="5">
        <v>0.5</v>
      </c>
      <c r="N86" s="5">
        <v>1790.0851063829789</v>
      </c>
      <c r="O86" s="5"/>
      <c r="P86" s="5" t="s">
        <v>192</v>
      </c>
      <c r="Q86" s="5" t="s">
        <v>57</v>
      </c>
      <c r="R86" s="5" t="s">
        <v>129</v>
      </c>
      <c r="S86" s="7" t="s">
        <v>2232</v>
      </c>
    </row>
    <row r="87" spans="1:19" x14ac:dyDescent="0.35">
      <c r="A87" s="6">
        <v>11711920</v>
      </c>
      <c r="B87" s="5" t="s">
        <v>225</v>
      </c>
      <c r="C87" s="5" t="s">
        <v>163</v>
      </c>
      <c r="D87" s="5" t="s">
        <v>77</v>
      </c>
      <c r="E87" s="5" t="s">
        <v>133</v>
      </c>
      <c r="F87" s="5" t="s">
        <v>2229</v>
      </c>
      <c r="G87" s="5"/>
      <c r="H87" s="5">
        <v>799</v>
      </c>
      <c r="I87" s="5" t="s">
        <v>223</v>
      </c>
      <c r="J87" s="5" t="s">
        <v>192</v>
      </c>
      <c r="K87" s="5">
        <v>4.3</v>
      </c>
      <c r="L87" s="5">
        <v>981</v>
      </c>
      <c r="M87" s="5">
        <v>0.6</v>
      </c>
      <c r="N87" s="5">
        <v>1790.0851063829789</v>
      </c>
      <c r="O87" s="5"/>
      <c r="P87" s="5" t="s">
        <v>192</v>
      </c>
      <c r="Q87" s="5" t="s">
        <v>55</v>
      </c>
      <c r="R87" s="5" t="s">
        <v>129</v>
      </c>
      <c r="S87" s="7" t="s">
        <v>2230</v>
      </c>
    </row>
    <row r="88" spans="1:19" x14ac:dyDescent="0.35">
      <c r="A88" s="6">
        <v>9262959</v>
      </c>
      <c r="B88" s="5" t="s">
        <v>678</v>
      </c>
      <c r="C88" s="5" t="s">
        <v>156</v>
      </c>
      <c r="D88" s="5" t="s">
        <v>442</v>
      </c>
      <c r="E88" s="5" t="s">
        <v>140</v>
      </c>
      <c r="F88" s="5" t="s">
        <v>2227</v>
      </c>
      <c r="G88" s="5"/>
      <c r="H88" s="5">
        <v>339</v>
      </c>
      <c r="I88" s="5"/>
      <c r="J88" s="5" t="s">
        <v>212</v>
      </c>
      <c r="K88" s="5">
        <v>4.3</v>
      </c>
      <c r="L88" s="5">
        <v>980</v>
      </c>
      <c r="M88" s="5"/>
      <c r="N88" s="5">
        <v>691.83976143141149</v>
      </c>
      <c r="O88" s="5">
        <v>691.83976143141149</v>
      </c>
      <c r="P88" s="5" t="s">
        <v>212</v>
      </c>
      <c r="Q88" s="5" t="s">
        <v>57</v>
      </c>
      <c r="R88" s="5" t="s">
        <v>129</v>
      </c>
      <c r="S88" s="7" t="s">
        <v>2228</v>
      </c>
    </row>
    <row r="89" spans="1:19" x14ac:dyDescent="0.35">
      <c r="A89" s="6">
        <v>2888743</v>
      </c>
      <c r="B89" s="5" t="s">
        <v>190</v>
      </c>
      <c r="C89" s="5" t="s">
        <v>142</v>
      </c>
      <c r="D89" s="5" t="s">
        <v>141</v>
      </c>
      <c r="E89" s="5" t="s">
        <v>140</v>
      </c>
      <c r="F89" s="5" t="s">
        <v>2225</v>
      </c>
      <c r="G89" s="5">
        <v>562</v>
      </c>
      <c r="H89" s="5">
        <v>1249</v>
      </c>
      <c r="I89" s="5" t="s">
        <v>178</v>
      </c>
      <c r="J89" s="5" t="s">
        <v>145</v>
      </c>
      <c r="K89" s="5">
        <v>4</v>
      </c>
      <c r="L89" s="5">
        <v>980</v>
      </c>
      <c r="M89" s="5">
        <v>0.55000000000000004</v>
      </c>
      <c r="N89" s="5">
        <v>1138.6340612208289</v>
      </c>
      <c r="O89" s="5">
        <v>562</v>
      </c>
      <c r="P89" s="5" t="s">
        <v>145</v>
      </c>
      <c r="Q89" s="5" t="s">
        <v>55</v>
      </c>
      <c r="R89" s="5" t="s">
        <v>129</v>
      </c>
      <c r="S89" s="7" t="s">
        <v>2226</v>
      </c>
    </row>
    <row r="90" spans="1:19" x14ac:dyDescent="0.35">
      <c r="A90" s="6">
        <v>13021502</v>
      </c>
      <c r="B90" s="5" t="s">
        <v>637</v>
      </c>
      <c r="C90" s="5" t="s">
        <v>135</v>
      </c>
      <c r="D90" s="5" t="s">
        <v>377</v>
      </c>
      <c r="E90" s="5" t="s">
        <v>133</v>
      </c>
      <c r="F90" s="5" t="s">
        <v>2223</v>
      </c>
      <c r="G90" s="5">
        <v>1597</v>
      </c>
      <c r="H90" s="5">
        <v>3399</v>
      </c>
      <c r="I90" s="5" t="s">
        <v>381</v>
      </c>
      <c r="J90" s="5" t="s">
        <v>150</v>
      </c>
      <c r="K90" s="5">
        <v>3.9</v>
      </c>
      <c r="L90" s="5">
        <v>980</v>
      </c>
      <c r="M90" s="5">
        <v>0.53</v>
      </c>
      <c r="N90" s="5">
        <v>1493.337491012077</v>
      </c>
      <c r="O90" s="5">
        <v>1597</v>
      </c>
      <c r="P90" s="5" t="s">
        <v>150</v>
      </c>
      <c r="Q90" s="5" t="s">
        <v>55</v>
      </c>
      <c r="R90" s="5" t="s">
        <v>129</v>
      </c>
      <c r="S90" s="7" t="s">
        <v>2224</v>
      </c>
    </row>
    <row r="91" spans="1:19" x14ac:dyDescent="0.35">
      <c r="A91" s="6">
        <v>8025483</v>
      </c>
      <c r="B91" s="5" t="s">
        <v>1625</v>
      </c>
      <c r="C91" s="5" t="s">
        <v>273</v>
      </c>
      <c r="D91" s="5" t="s">
        <v>442</v>
      </c>
      <c r="E91" s="5" t="s">
        <v>133</v>
      </c>
      <c r="F91" s="5" t="s">
        <v>2221</v>
      </c>
      <c r="G91" s="5">
        <v>1080</v>
      </c>
      <c r="H91" s="5">
        <v>1800</v>
      </c>
      <c r="I91" s="5" t="s">
        <v>131</v>
      </c>
      <c r="J91" s="5" t="s">
        <v>196</v>
      </c>
      <c r="K91" s="5">
        <v>4.4000000000000004</v>
      </c>
      <c r="L91" s="5">
        <v>980</v>
      </c>
      <c r="M91" s="5">
        <v>0.4</v>
      </c>
      <c r="N91" s="5">
        <v>811.90284167198604</v>
      </c>
      <c r="O91" s="5">
        <v>1080</v>
      </c>
      <c r="P91" s="5" t="s">
        <v>196</v>
      </c>
      <c r="Q91" s="5" t="s">
        <v>57</v>
      </c>
      <c r="R91" s="5" t="s">
        <v>129</v>
      </c>
      <c r="S91" s="7" t="s">
        <v>2222</v>
      </c>
    </row>
    <row r="92" spans="1:19" x14ac:dyDescent="0.35">
      <c r="A92" s="6">
        <v>9901951</v>
      </c>
      <c r="B92" s="5" t="s">
        <v>250</v>
      </c>
      <c r="C92" s="5" t="s">
        <v>163</v>
      </c>
      <c r="D92" s="5" t="s">
        <v>215</v>
      </c>
      <c r="E92" s="5" t="s">
        <v>133</v>
      </c>
      <c r="F92" s="5" t="s">
        <v>2219</v>
      </c>
      <c r="G92" s="5"/>
      <c r="H92" s="5">
        <v>1199</v>
      </c>
      <c r="I92" s="5" t="s">
        <v>283</v>
      </c>
      <c r="J92" s="5" t="s">
        <v>192</v>
      </c>
      <c r="K92" s="5">
        <v>4.3</v>
      </c>
      <c r="L92" s="5">
        <v>980</v>
      </c>
      <c r="M92" s="5">
        <v>0.7</v>
      </c>
      <c r="N92" s="5">
        <v>1790.0851063829789</v>
      </c>
      <c r="O92" s="5"/>
      <c r="P92" s="5" t="s">
        <v>192</v>
      </c>
      <c r="Q92" s="5" t="s">
        <v>55</v>
      </c>
      <c r="R92" s="5" t="s">
        <v>129</v>
      </c>
      <c r="S92" s="7" t="s">
        <v>2220</v>
      </c>
    </row>
    <row r="93" spans="1:19" x14ac:dyDescent="0.35">
      <c r="A93" s="6">
        <v>11709228</v>
      </c>
      <c r="B93" s="5" t="s">
        <v>2217</v>
      </c>
      <c r="C93" s="5" t="s">
        <v>163</v>
      </c>
      <c r="D93" s="5" t="s">
        <v>194</v>
      </c>
      <c r="E93" s="5" t="s">
        <v>133</v>
      </c>
      <c r="F93" s="5" t="s">
        <v>2216</v>
      </c>
      <c r="G93" s="5"/>
      <c r="H93" s="5">
        <v>1299</v>
      </c>
      <c r="I93" s="5" t="s">
        <v>218</v>
      </c>
      <c r="J93" s="5" t="s">
        <v>422</v>
      </c>
      <c r="K93" s="5">
        <v>4.4000000000000004</v>
      </c>
      <c r="L93" s="5">
        <v>980</v>
      </c>
      <c r="M93" s="5">
        <v>0.3</v>
      </c>
      <c r="N93" s="5">
        <v>1790.0851063829789</v>
      </c>
      <c r="O93" s="5"/>
      <c r="P93" s="5" t="s">
        <v>422</v>
      </c>
      <c r="Q93" s="5" t="s">
        <v>57</v>
      </c>
      <c r="R93" s="5" t="s">
        <v>129</v>
      </c>
      <c r="S93" s="7" t="s">
        <v>2218</v>
      </c>
    </row>
    <row r="94" spans="1:19" x14ac:dyDescent="0.35">
      <c r="A94" s="6">
        <v>11541522</v>
      </c>
      <c r="B94" s="5" t="s">
        <v>250</v>
      </c>
      <c r="C94" s="5" t="s">
        <v>163</v>
      </c>
      <c r="D94" s="5" t="s">
        <v>162</v>
      </c>
      <c r="E94" s="5" t="s">
        <v>133</v>
      </c>
      <c r="F94" s="5" t="s">
        <v>1573</v>
      </c>
      <c r="G94" s="5"/>
      <c r="H94" s="5">
        <v>1699</v>
      </c>
      <c r="I94" s="5" t="s">
        <v>178</v>
      </c>
      <c r="J94" s="5" t="s">
        <v>222</v>
      </c>
      <c r="K94" s="5">
        <v>4.0999999999999996</v>
      </c>
      <c r="L94" s="5">
        <v>980</v>
      </c>
      <c r="M94" s="5">
        <v>0.55000000000000004</v>
      </c>
      <c r="N94" s="5">
        <v>1790.0851063829789</v>
      </c>
      <c r="O94" s="5"/>
      <c r="P94" s="5" t="s">
        <v>222</v>
      </c>
      <c r="Q94" s="5" t="s">
        <v>55</v>
      </c>
      <c r="R94" s="5" t="s">
        <v>129</v>
      </c>
      <c r="S94" s="7" t="s">
        <v>2215</v>
      </c>
    </row>
    <row r="95" spans="1:19" x14ac:dyDescent="0.35">
      <c r="A95" s="6">
        <v>10106025</v>
      </c>
      <c r="B95" s="5" t="s">
        <v>152</v>
      </c>
      <c r="C95" s="5" t="s">
        <v>75</v>
      </c>
      <c r="D95" s="5" t="s">
        <v>77</v>
      </c>
      <c r="E95" s="5" t="s">
        <v>140</v>
      </c>
      <c r="F95" s="5" t="s">
        <v>2213</v>
      </c>
      <c r="G95" s="5">
        <v>359</v>
      </c>
      <c r="H95" s="5">
        <v>899</v>
      </c>
      <c r="I95" s="5" t="s">
        <v>223</v>
      </c>
      <c r="J95" s="5" t="s">
        <v>150</v>
      </c>
      <c r="K95" s="5">
        <v>4.3</v>
      </c>
      <c r="L95" s="5">
        <v>979</v>
      </c>
      <c r="M95" s="5">
        <v>0.6</v>
      </c>
      <c r="N95" s="5">
        <v>1097.3783736315199</v>
      </c>
      <c r="O95" s="5">
        <v>359</v>
      </c>
      <c r="P95" s="5" t="s">
        <v>150</v>
      </c>
      <c r="Q95" s="5" t="s">
        <v>55</v>
      </c>
      <c r="R95" s="5" t="s">
        <v>129</v>
      </c>
      <c r="S95" s="7" t="s">
        <v>2214</v>
      </c>
    </row>
    <row r="96" spans="1:19" x14ac:dyDescent="0.35">
      <c r="A96" s="6">
        <v>2347572</v>
      </c>
      <c r="B96" s="5" t="s">
        <v>190</v>
      </c>
      <c r="C96" s="5" t="s">
        <v>142</v>
      </c>
      <c r="D96" s="5" t="s">
        <v>141</v>
      </c>
      <c r="E96" s="5" t="s">
        <v>140</v>
      </c>
      <c r="F96" s="5" t="s">
        <v>2211</v>
      </c>
      <c r="G96" s="5">
        <v>610</v>
      </c>
      <c r="H96" s="5">
        <v>1299</v>
      </c>
      <c r="I96" s="5" t="s">
        <v>381</v>
      </c>
      <c r="J96" s="5" t="s">
        <v>145</v>
      </c>
      <c r="K96" s="5">
        <v>3.8</v>
      </c>
      <c r="L96" s="5">
        <v>979</v>
      </c>
      <c r="M96" s="5">
        <v>0.53</v>
      </c>
      <c r="N96" s="5">
        <v>1138.6340612208289</v>
      </c>
      <c r="O96" s="5">
        <v>610</v>
      </c>
      <c r="P96" s="5" t="s">
        <v>145</v>
      </c>
      <c r="Q96" s="5" t="s">
        <v>55</v>
      </c>
      <c r="R96" s="5" t="s">
        <v>129</v>
      </c>
      <c r="S96" s="7" t="s">
        <v>2212</v>
      </c>
    </row>
    <row r="97" spans="1:19" x14ac:dyDescent="0.35">
      <c r="A97" s="6">
        <v>11263958</v>
      </c>
      <c r="B97" s="5" t="s">
        <v>1023</v>
      </c>
      <c r="C97" s="5" t="s">
        <v>135</v>
      </c>
      <c r="D97" s="5" t="s">
        <v>174</v>
      </c>
      <c r="E97" s="5" t="s">
        <v>133</v>
      </c>
      <c r="F97" s="5" t="s">
        <v>2209</v>
      </c>
      <c r="G97" s="5">
        <v>899</v>
      </c>
      <c r="H97" s="5">
        <v>1998</v>
      </c>
      <c r="I97" s="5" t="s">
        <v>178</v>
      </c>
      <c r="J97" s="5" t="s">
        <v>171</v>
      </c>
      <c r="K97" s="5">
        <v>4</v>
      </c>
      <c r="L97" s="5">
        <v>979</v>
      </c>
      <c r="M97" s="5">
        <v>0.55000000000000004</v>
      </c>
      <c r="N97" s="5">
        <v>1493.337491012077</v>
      </c>
      <c r="O97" s="5">
        <v>899</v>
      </c>
      <c r="P97" s="5" t="s">
        <v>171</v>
      </c>
      <c r="Q97" s="5" t="s">
        <v>55</v>
      </c>
      <c r="R97" s="5" t="s">
        <v>129</v>
      </c>
      <c r="S97" s="7" t="s">
        <v>2210</v>
      </c>
    </row>
    <row r="98" spans="1:19" x14ac:dyDescent="0.35">
      <c r="A98" s="6">
        <v>7695835</v>
      </c>
      <c r="B98" s="5" t="s">
        <v>152</v>
      </c>
      <c r="C98" s="5" t="s">
        <v>75</v>
      </c>
      <c r="D98" s="5" t="s">
        <v>568</v>
      </c>
      <c r="E98" s="5" t="s">
        <v>133</v>
      </c>
      <c r="F98" s="5" t="s">
        <v>2207</v>
      </c>
      <c r="G98" s="5"/>
      <c r="H98" s="5">
        <v>1699</v>
      </c>
      <c r="I98" s="5"/>
      <c r="J98" s="5" t="s">
        <v>196</v>
      </c>
      <c r="K98" s="5">
        <v>4.3</v>
      </c>
      <c r="L98" s="5">
        <v>979</v>
      </c>
      <c r="M98" s="5"/>
      <c r="N98" s="5">
        <v>1097.3783736315199</v>
      </c>
      <c r="O98" s="5">
        <v>1097.3783736315199</v>
      </c>
      <c r="P98" s="5" t="s">
        <v>196</v>
      </c>
      <c r="Q98" s="5" t="s">
        <v>57</v>
      </c>
      <c r="R98" s="5" t="s">
        <v>129</v>
      </c>
      <c r="S98" s="7" t="s">
        <v>2208</v>
      </c>
    </row>
    <row r="99" spans="1:19" x14ac:dyDescent="0.35">
      <c r="A99" s="6">
        <v>596473</v>
      </c>
      <c r="B99" s="5" t="s">
        <v>2205</v>
      </c>
      <c r="C99" s="5" t="s">
        <v>163</v>
      </c>
      <c r="D99" s="5" t="s">
        <v>215</v>
      </c>
      <c r="E99" s="5" t="s">
        <v>133</v>
      </c>
      <c r="F99" s="5" t="s">
        <v>2204</v>
      </c>
      <c r="G99" s="5"/>
      <c r="H99" s="5">
        <v>1595</v>
      </c>
      <c r="I99" s="5" t="s">
        <v>223</v>
      </c>
      <c r="J99" s="5" t="s">
        <v>150</v>
      </c>
      <c r="K99" s="5">
        <v>3.6</v>
      </c>
      <c r="L99" s="5">
        <v>978</v>
      </c>
      <c r="M99" s="5">
        <v>0.6</v>
      </c>
      <c r="N99" s="5">
        <v>1790.0851063829789</v>
      </c>
      <c r="O99" s="5"/>
      <c r="P99" s="5" t="s">
        <v>150</v>
      </c>
      <c r="Q99" s="5" t="s">
        <v>55</v>
      </c>
      <c r="R99" s="5" t="s">
        <v>129</v>
      </c>
      <c r="S99" s="7" t="s">
        <v>2206</v>
      </c>
    </row>
    <row r="100" spans="1:19" x14ac:dyDescent="0.35">
      <c r="A100" s="6">
        <v>8801149</v>
      </c>
      <c r="B100" s="5" t="s">
        <v>250</v>
      </c>
      <c r="C100" s="5" t="s">
        <v>163</v>
      </c>
      <c r="D100" s="5" t="s">
        <v>162</v>
      </c>
      <c r="E100" s="5" t="s">
        <v>133</v>
      </c>
      <c r="F100" s="5" t="s">
        <v>2202</v>
      </c>
      <c r="G100" s="5"/>
      <c r="H100" s="5">
        <v>1999</v>
      </c>
      <c r="I100" s="5" t="s">
        <v>223</v>
      </c>
      <c r="J100" s="5" t="s">
        <v>222</v>
      </c>
      <c r="K100" s="5">
        <v>4.2</v>
      </c>
      <c r="L100" s="5">
        <v>978</v>
      </c>
      <c r="M100" s="5">
        <v>0.6</v>
      </c>
      <c r="N100" s="5">
        <v>1790.0851063829789</v>
      </c>
      <c r="O100" s="5"/>
      <c r="P100" s="5" t="s">
        <v>222</v>
      </c>
      <c r="Q100" s="5" t="s">
        <v>55</v>
      </c>
      <c r="R100" s="5" t="s">
        <v>129</v>
      </c>
      <c r="S100" s="7" t="s">
        <v>2203</v>
      </c>
    </row>
    <row r="101" spans="1:19" x14ac:dyDescent="0.35">
      <c r="A101" s="6">
        <v>12193806</v>
      </c>
      <c r="B101" s="5" t="s">
        <v>250</v>
      </c>
      <c r="C101" s="5" t="s">
        <v>163</v>
      </c>
      <c r="D101" s="5" t="s">
        <v>77</v>
      </c>
      <c r="E101" s="5" t="s">
        <v>133</v>
      </c>
      <c r="F101" s="5" t="s">
        <v>2200</v>
      </c>
      <c r="G101" s="5"/>
      <c r="H101" s="5">
        <v>599</v>
      </c>
      <c r="I101" s="5" t="s">
        <v>209</v>
      </c>
      <c r="J101" s="5" t="s">
        <v>192</v>
      </c>
      <c r="K101" s="5">
        <v>4.3</v>
      </c>
      <c r="L101" s="5">
        <v>978</v>
      </c>
      <c r="M101" s="5">
        <v>0.5</v>
      </c>
      <c r="N101" s="5">
        <v>1790.0851063829789</v>
      </c>
      <c r="O101" s="5"/>
      <c r="P101" s="5" t="s">
        <v>192</v>
      </c>
      <c r="Q101" s="5" t="s">
        <v>57</v>
      </c>
      <c r="R101" s="5" t="s">
        <v>129</v>
      </c>
      <c r="S101" s="7" t="s">
        <v>2201</v>
      </c>
    </row>
    <row r="102" spans="1:19" x14ac:dyDescent="0.35">
      <c r="A102" s="6">
        <v>2522852</v>
      </c>
      <c r="B102" s="5" t="s">
        <v>200</v>
      </c>
      <c r="C102" s="5" t="s">
        <v>163</v>
      </c>
      <c r="D102" s="5" t="s">
        <v>77</v>
      </c>
      <c r="E102" s="5" t="s">
        <v>133</v>
      </c>
      <c r="F102" s="5" t="s">
        <v>2198</v>
      </c>
      <c r="G102" s="5"/>
      <c r="H102" s="5">
        <v>899</v>
      </c>
      <c r="I102" s="5" t="s">
        <v>178</v>
      </c>
      <c r="J102" s="5" t="s">
        <v>192</v>
      </c>
      <c r="K102" s="5">
        <v>4.2</v>
      </c>
      <c r="L102" s="5">
        <v>978</v>
      </c>
      <c r="M102" s="5">
        <v>0.55000000000000004</v>
      </c>
      <c r="N102" s="5">
        <v>1790.0851063829789</v>
      </c>
      <c r="O102" s="5"/>
      <c r="P102" s="5" t="s">
        <v>192</v>
      </c>
      <c r="Q102" s="5" t="s">
        <v>55</v>
      </c>
      <c r="R102" s="5" t="s">
        <v>129</v>
      </c>
      <c r="S102" s="7" t="s">
        <v>2199</v>
      </c>
    </row>
    <row r="103" spans="1:19" x14ac:dyDescent="0.35">
      <c r="A103" s="6">
        <v>1700734</v>
      </c>
      <c r="B103" s="5" t="s">
        <v>183</v>
      </c>
      <c r="C103" s="5" t="s">
        <v>189</v>
      </c>
      <c r="D103" s="5" t="s">
        <v>162</v>
      </c>
      <c r="E103" s="5" t="s">
        <v>140</v>
      </c>
      <c r="F103" s="5" t="s">
        <v>2196</v>
      </c>
      <c r="G103" s="5">
        <v>1449</v>
      </c>
      <c r="H103" s="5">
        <v>2899</v>
      </c>
      <c r="I103" s="5" t="s">
        <v>209</v>
      </c>
      <c r="J103" s="5" t="s">
        <v>502</v>
      </c>
      <c r="K103" s="5">
        <v>4.2</v>
      </c>
      <c r="L103" s="5">
        <v>977</v>
      </c>
      <c r="M103" s="5">
        <v>0.5</v>
      </c>
      <c r="N103" s="5">
        <v>1351.2078667815099</v>
      </c>
      <c r="O103" s="5">
        <v>1449</v>
      </c>
      <c r="P103" s="5" t="s">
        <v>502</v>
      </c>
      <c r="Q103" s="5" t="s">
        <v>57</v>
      </c>
      <c r="R103" s="5" t="s">
        <v>129</v>
      </c>
      <c r="S103" s="7" t="s">
        <v>2197</v>
      </c>
    </row>
    <row r="104" spans="1:19" x14ac:dyDescent="0.35">
      <c r="A104" s="6">
        <v>10740976</v>
      </c>
      <c r="B104" s="5" t="s">
        <v>250</v>
      </c>
      <c r="C104" s="5" t="s">
        <v>142</v>
      </c>
      <c r="D104" s="5" t="s">
        <v>141</v>
      </c>
      <c r="E104" s="5" t="s">
        <v>140</v>
      </c>
      <c r="F104" s="5" t="s">
        <v>2194</v>
      </c>
      <c r="G104" s="5">
        <v>714</v>
      </c>
      <c r="H104" s="5">
        <v>1299</v>
      </c>
      <c r="I104" s="5" t="s">
        <v>36</v>
      </c>
      <c r="J104" s="5" t="s">
        <v>348</v>
      </c>
      <c r="K104" s="5">
        <v>4.0999999999999996</v>
      </c>
      <c r="L104" s="5">
        <v>977</v>
      </c>
      <c r="M104" s="5">
        <v>0.45</v>
      </c>
      <c r="N104" s="5">
        <v>1138.6340612208289</v>
      </c>
      <c r="O104" s="5">
        <v>714</v>
      </c>
      <c r="P104" s="5" t="s">
        <v>348</v>
      </c>
      <c r="Q104" s="5" t="s">
        <v>57</v>
      </c>
      <c r="R104" s="5" t="s">
        <v>129</v>
      </c>
      <c r="S104" s="7" t="s">
        <v>2195</v>
      </c>
    </row>
    <row r="105" spans="1:19" x14ac:dyDescent="0.35">
      <c r="A105" s="6">
        <v>11326046</v>
      </c>
      <c r="B105" s="5" t="s">
        <v>250</v>
      </c>
      <c r="C105" s="5" t="s">
        <v>142</v>
      </c>
      <c r="D105" s="5" t="s">
        <v>141</v>
      </c>
      <c r="E105" s="5" t="s">
        <v>140</v>
      </c>
      <c r="F105" s="5" t="s">
        <v>2192</v>
      </c>
      <c r="G105" s="5"/>
      <c r="H105" s="5">
        <v>1299</v>
      </c>
      <c r="I105" s="5"/>
      <c r="J105" s="5" t="s">
        <v>276</v>
      </c>
      <c r="K105" s="5">
        <v>4.0999999999999996</v>
      </c>
      <c r="L105" s="5">
        <v>977</v>
      </c>
      <c r="M105" s="5"/>
      <c r="N105" s="5">
        <v>1138.6340612208289</v>
      </c>
      <c r="O105" s="5">
        <v>1138.6340612208289</v>
      </c>
      <c r="P105" s="5" t="s">
        <v>276</v>
      </c>
      <c r="Q105" s="5" t="s">
        <v>57</v>
      </c>
      <c r="R105" s="5" t="s">
        <v>129</v>
      </c>
      <c r="S105" s="7" t="s">
        <v>2193</v>
      </c>
    </row>
    <row r="106" spans="1:19" x14ac:dyDescent="0.35">
      <c r="A106" s="6">
        <v>2000035</v>
      </c>
      <c r="B106" s="5" t="s">
        <v>136</v>
      </c>
      <c r="C106" s="5" t="s">
        <v>135</v>
      </c>
      <c r="D106" s="5" t="s">
        <v>168</v>
      </c>
      <c r="E106" s="5" t="s">
        <v>133</v>
      </c>
      <c r="F106" s="5" t="s">
        <v>2190</v>
      </c>
      <c r="G106" s="5">
        <v>719</v>
      </c>
      <c r="H106" s="5">
        <v>1799</v>
      </c>
      <c r="I106" s="5" t="s">
        <v>223</v>
      </c>
      <c r="J106" s="5" t="s">
        <v>177</v>
      </c>
      <c r="K106" s="5">
        <v>4.3</v>
      </c>
      <c r="L106" s="5">
        <v>977</v>
      </c>
      <c r="M106" s="5">
        <v>0.6</v>
      </c>
      <c r="N106" s="5">
        <v>1493.337491012077</v>
      </c>
      <c r="O106" s="5">
        <v>719</v>
      </c>
      <c r="P106" s="5" t="s">
        <v>177</v>
      </c>
      <c r="Q106" s="5" t="s">
        <v>55</v>
      </c>
      <c r="R106" s="5" t="s">
        <v>129</v>
      </c>
      <c r="S106" s="7" t="s">
        <v>2191</v>
      </c>
    </row>
    <row r="107" spans="1:19" x14ac:dyDescent="0.35">
      <c r="A107" s="6">
        <v>9673749</v>
      </c>
      <c r="B107" s="5" t="s">
        <v>169</v>
      </c>
      <c r="C107" s="5" t="s">
        <v>135</v>
      </c>
      <c r="D107" s="5" t="s">
        <v>377</v>
      </c>
      <c r="E107" s="5" t="s">
        <v>133</v>
      </c>
      <c r="F107" s="5" t="s">
        <v>2188</v>
      </c>
      <c r="G107" s="5">
        <v>1112</v>
      </c>
      <c r="H107" s="5">
        <v>2649</v>
      </c>
      <c r="I107" s="5" t="s">
        <v>319</v>
      </c>
      <c r="J107" s="5" t="s">
        <v>150</v>
      </c>
      <c r="K107" s="5">
        <v>4.3</v>
      </c>
      <c r="L107" s="5">
        <v>977</v>
      </c>
      <c r="M107" s="5">
        <v>0.57999999999999996</v>
      </c>
      <c r="N107" s="5">
        <v>1493.337491012077</v>
      </c>
      <c r="O107" s="5">
        <v>1112</v>
      </c>
      <c r="P107" s="5" t="s">
        <v>150</v>
      </c>
      <c r="Q107" s="5" t="s">
        <v>55</v>
      </c>
      <c r="R107" s="5" t="s">
        <v>129</v>
      </c>
      <c r="S107" s="7" t="s">
        <v>2189</v>
      </c>
    </row>
    <row r="108" spans="1:19" x14ac:dyDescent="0.35">
      <c r="A108" s="6">
        <v>10297291</v>
      </c>
      <c r="B108" s="5" t="s">
        <v>143</v>
      </c>
      <c r="C108" s="5" t="s">
        <v>235</v>
      </c>
      <c r="D108" s="5" t="s">
        <v>77</v>
      </c>
      <c r="E108" s="5" t="s">
        <v>133</v>
      </c>
      <c r="F108" s="5" t="s">
        <v>2186</v>
      </c>
      <c r="G108" s="5">
        <v>402</v>
      </c>
      <c r="H108" s="5">
        <v>1149</v>
      </c>
      <c r="I108" s="5" t="s">
        <v>197</v>
      </c>
      <c r="J108" s="5" t="s">
        <v>177</v>
      </c>
      <c r="K108" s="5">
        <v>4.0999999999999996</v>
      </c>
      <c r="L108" s="5">
        <v>977</v>
      </c>
      <c r="M108" s="5">
        <v>0.65</v>
      </c>
      <c r="N108" s="5">
        <v>923.69459774582197</v>
      </c>
      <c r="O108" s="5">
        <v>402</v>
      </c>
      <c r="P108" s="5" t="s">
        <v>177</v>
      </c>
      <c r="Q108" s="5" t="s">
        <v>55</v>
      </c>
      <c r="R108" s="5" t="s">
        <v>129</v>
      </c>
      <c r="S108" s="7" t="s">
        <v>2187</v>
      </c>
    </row>
    <row r="109" spans="1:19" x14ac:dyDescent="0.35">
      <c r="A109" s="6">
        <v>11900306</v>
      </c>
      <c r="B109" s="5" t="s">
        <v>339</v>
      </c>
      <c r="C109" s="5" t="s">
        <v>163</v>
      </c>
      <c r="D109" s="5" t="s">
        <v>77</v>
      </c>
      <c r="E109" s="5" t="s">
        <v>133</v>
      </c>
      <c r="F109" s="5" t="s">
        <v>2184</v>
      </c>
      <c r="G109" s="5"/>
      <c r="H109" s="5">
        <v>699</v>
      </c>
      <c r="I109" s="5" t="s">
        <v>223</v>
      </c>
      <c r="J109" s="5" t="s">
        <v>192</v>
      </c>
      <c r="K109" s="5">
        <v>4.3</v>
      </c>
      <c r="L109" s="5">
        <v>977</v>
      </c>
      <c r="M109" s="5">
        <v>0.6</v>
      </c>
      <c r="N109" s="5">
        <v>1790.0851063829789</v>
      </c>
      <c r="O109" s="5"/>
      <c r="P109" s="5" t="s">
        <v>192</v>
      </c>
      <c r="Q109" s="5" t="s">
        <v>55</v>
      </c>
      <c r="R109" s="5" t="s">
        <v>129</v>
      </c>
      <c r="S109" s="7" t="s">
        <v>2185</v>
      </c>
    </row>
    <row r="110" spans="1:19" x14ac:dyDescent="0.35">
      <c r="A110" s="6">
        <v>11036420</v>
      </c>
      <c r="B110" s="5" t="s">
        <v>443</v>
      </c>
      <c r="C110" s="5" t="s">
        <v>156</v>
      </c>
      <c r="D110" s="5" t="s">
        <v>500</v>
      </c>
      <c r="E110" s="5" t="s">
        <v>140</v>
      </c>
      <c r="F110" s="5" t="s">
        <v>2182</v>
      </c>
      <c r="G110" s="5"/>
      <c r="H110" s="5">
        <v>599</v>
      </c>
      <c r="I110" s="5"/>
      <c r="J110" s="5" t="s">
        <v>352</v>
      </c>
      <c r="K110" s="5">
        <v>4.5999999999999996</v>
      </c>
      <c r="L110" s="5">
        <v>976</v>
      </c>
      <c r="M110" s="5"/>
      <c r="N110" s="5">
        <v>691.83976143141149</v>
      </c>
      <c r="O110" s="5">
        <v>691.83976143141149</v>
      </c>
      <c r="P110" s="5" t="s">
        <v>352</v>
      </c>
      <c r="Q110" s="5" t="s">
        <v>57</v>
      </c>
      <c r="R110" s="5" t="s">
        <v>129</v>
      </c>
      <c r="S110" s="7" t="s">
        <v>2183</v>
      </c>
    </row>
    <row r="111" spans="1:19" x14ac:dyDescent="0.35">
      <c r="A111" s="6">
        <v>11638588</v>
      </c>
      <c r="B111" s="5" t="s">
        <v>443</v>
      </c>
      <c r="C111" s="5" t="s">
        <v>156</v>
      </c>
      <c r="D111" s="5" t="s">
        <v>500</v>
      </c>
      <c r="E111" s="5" t="s">
        <v>140</v>
      </c>
      <c r="F111" s="5" t="s">
        <v>2180</v>
      </c>
      <c r="G111" s="5"/>
      <c r="H111" s="5">
        <v>1198</v>
      </c>
      <c r="I111" s="5"/>
      <c r="J111" s="5" t="s">
        <v>352</v>
      </c>
      <c r="K111" s="5">
        <v>4.5999999999999996</v>
      </c>
      <c r="L111" s="5">
        <v>976</v>
      </c>
      <c r="M111" s="5"/>
      <c r="N111" s="5">
        <v>691.83976143141149</v>
      </c>
      <c r="O111" s="5">
        <v>691.83976143141149</v>
      </c>
      <c r="P111" s="5" t="s">
        <v>352</v>
      </c>
      <c r="Q111" s="5" t="s">
        <v>57</v>
      </c>
      <c r="R111" s="5" t="s">
        <v>129</v>
      </c>
      <c r="S111" s="7" t="s">
        <v>2181</v>
      </c>
    </row>
    <row r="112" spans="1:19" x14ac:dyDescent="0.35">
      <c r="A112" s="6">
        <v>11640010</v>
      </c>
      <c r="B112" s="5" t="s">
        <v>152</v>
      </c>
      <c r="C112" s="5" t="s">
        <v>75</v>
      </c>
      <c r="D112" s="5" t="s">
        <v>77</v>
      </c>
      <c r="E112" s="5" t="s">
        <v>140</v>
      </c>
      <c r="F112" s="5" t="s">
        <v>2178</v>
      </c>
      <c r="G112" s="5">
        <v>659</v>
      </c>
      <c r="H112" s="5">
        <v>1099</v>
      </c>
      <c r="I112" s="5" t="s">
        <v>131</v>
      </c>
      <c r="J112" s="5" t="s">
        <v>150</v>
      </c>
      <c r="K112" s="5">
        <v>4.3</v>
      </c>
      <c r="L112" s="5">
        <v>976</v>
      </c>
      <c r="M112" s="5">
        <v>0.4</v>
      </c>
      <c r="N112" s="5">
        <v>1097.3783736315199</v>
      </c>
      <c r="O112" s="5">
        <v>659</v>
      </c>
      <c r="P112" s="5" t="s">
        <v>150</v>
      </c>
      <c r="Q112" s="5" t="s">
        <v>57</v>
      </c>
      <c r="R112" s="5" t="s">
        <v>129</v>
      </c>
      <c r="S112" s="7" t="s">
        <v>2179</v>
      </c>
    </row>
    <row r="113" spans="1:19" x14ac:dyDescent="0.35">
      <c r="A113" s="6">
        <v>2303687</v>
      </c>
      <c r="B113" s="5" t="s">
        <v>250</v>
      </c>
      <c r="C113" s="5" t="s">
        <v>142</v>
      </c>
      <c r="D113" s="5" t="s">
        <v>77</v>
      </c>
      <c r="E113" s="5" t="s">
        <v>140</v>
      </c>
      <c r="F113" s="5" t="s">
        <v>2176</v>
      </c>
      <c r="G113" s="5">
        <v>714</v>
      </c>
      <c r="H113" s="5">
        <v>1299</v>
      </c>
      <c r="I113" s="5" t="s">
        <v>36</v>
      </c>
      <c r="J113" s="5" t="s">
        <v>458</v>
      </c>
      <c r="K113" s="5">
        <v>4.2</v>
      </c>
      <c r="L113" s="5">
        <v>976</v>
      </c>
      <c r="M113" s="5">
        <v>0.45</v>
      </c>
      <c r="N113" s="5">
        <v>1138.6340612208289</v>
      </c>
      <c r="O113" s="5">
        <v>714</v>
      </c>
      <c r="P113" s="5" t="s">
        <v>458</v>
      </c>
      <c r="Q113" s="5" t="s">
        <v>57</v>
      </c>
      <c r="R113" s="5" t="s">
        <v>129</v>
      </c>
      <c r="S113" s="7" t="s">
        <v>2177</v>
      </c>
    </row>
    <row r="114" spans="1:19" x14ac:dyDescent="0.35">
      <c r="A114" s="6">
        <v>10316399</v>
      </c>
      <c r="B114" s="5" t="s">
        <v>143</v>
      </c>
      <c r="C114" s="5" t="s">
        <v>142</v>
      </c>
      <c r="D114" s="5" t="s">
        <v>141</v>
      </c>
      <c r="E114" s="5" t="s">
        <v>140</v>
      </c>
      <c r="F114" s="5" t="s">
        <v>2174</v>
      </c>
      <c r="G114" s="5">
        <v>699</v>
      </c>
      <c r="H114" s="5">
        <v>1999</v>
      </c>
      <c r="I114" s="5" t="s">
        <v>197</v>
      </c>
      <c r="J114" s="5" t="s">
        <v>138</v>
      </c>
      <c r="K114" s="5">
        <v>4.2</v>
      </c>
      <c r="L114" s="5">
        <v>976</v>
      </c>
      <c r="M114" s="5">
        <v>0.65</v>
      </c>
      <c r="N114" s="5">
        <v>1138.6340612208289</v>
      </c>
      <c r="O114" s="5">
        <v>699</v>
      </c>
      <c r="P114" s="5" t="s">
        <v>138</v>
      </c>
      <c r="Q114" s="5" t="s">
        <v>55</v>
      </c>
      <c r="R114" s="5" t="s">
        <v>129</v>
      </c>
      <c r="S114" s="7" t="s">
        <v>2175</v>
      </c>
    </row>
    <row r="115" spans="1:19" x14ac:dyDescent="0.35">
      <c r="A115" s="6">
        <v>12116006</v>
      </c>
      <c r="B115" s="5" t="s">
        <v>225</v>
      </c>
      <c r="C115" s="5" t="s">
        <v>142</v>
      </c>
      <c r="D115" s="5" t="s">
        <v>77</v>
      </c>
      <c r="E115" s="5" t="s">
        <v>140</v>
      </c>
      <c r="F115" s="5" t="s">
        <v>2172</v>
      </c>
      <c r="G115" s="5">
        <v>494</v>
      </c>
      <c r="H115" s="5">
        <v>899</v>
      </c>
      <c r="I115" s="5" t="s">
        <v>36</v>
      </c>
      <c r="J115" s="5" t="s">
        <v>212</v>
      </c>
      <c r="K115" s="5">
        <v>4.3</v>
      </c>
      <c r="L115" s="5">
        <v>976</v>
      </c>
      <c r="M115" s="5">
        <v>0.45</v>
      </c>
      <c r="N115" s="5">
        <v>1138.6340612208289</v>
      </c>
      <c r="O115" s="5">
        <v>494</v>
      </c>
      <c r="P115" s="5" t="s">
        <v>212</v>
      </c>
      <c r="Q115" s="5" t="s">
        <v>57</v>
      </c>
      <c r="R115" s="5" t="s">
        <v>129</v>
      </c>
      <c r="S115" s="7" t="s">
        <v>2173</v>
      </c>
    </row>
    <row r="116" spans="1:19" x14ac:dyDescent="0.35">
      <c r="A116" s="6">
        <v>6613296</v>
      </c>
      <c r="B116" s="5" t="s">
        <v>460</v>
      </c>
      <c r="C116" s="5" t="s">
        <v>135</v>
      </c>
      <c r="D116" s="5" t="s">
        <v>246</v>
      </c>
      <c r="E116" s="5" t="s">
        <v>133</v>
      </c>
      <c r="F116" s="5" t="s">
        <v>2170</v>
      </c>
      <c r="G116" s="5">
        <v>494</v>
      </c>
      <c r="H116" s="5">
        <v>899</v>
      </c>
      <c r="I116" s="5" t="s">
        <v>36</v>
      </c>
      <c r="J116" s="5" t="s">
        <v>196</v>
      </c>
      <c r="K116" s="5">
        <v>3.6</v>
      </c>
      <c r="L116" s="5">
        <v>976</v>
      </c>
      <c r="M116" s="5">
        <v>0.45</v>
      </c>
      <c r="N116" s="5">
        <v>1493.337491012077</v>
      </c>
      <c r="O116" s="5">
        <v>494</v>
      </c>
      <c r="P116" s="5" t="s">
        <v>196</v>
      </c>
      <c r="Q116" s="5" t="s">
        <v>57</v>
      </c>
      <c r="R116" s="5" t="s">
        <v>129</v>
      </c>
      <c r="S116" s="7" t="s">
        <v>2171</v>
      </c>
    </row>
    <row r="117" spans="1:19" x14ac:dyDescent="0.35">
      <c r="A117" s="6">
        <v>11489602</v>
      </c>
      <c r="B117" s="5" t="s">
        <v>250</v>
      </c>
      <c r="C117" s="5" t="s">
        <v>163</v>
      </c>
      <c r="D117" s="5" t="s">
        <v>134</v>
      </c>
      <c r="E117" s="5" t="s">
        <v>133</v>
      </c>
      <c r="F117" s="5" t="s">
        <v>2168</v>
      </c>
      <c r="G117" s="5"/>
      <c r="H117" s="5">
        <v>1299</v>
      </c>
      <c r="I117" s="5" t="s">
        <v>178</v>
      </c>
      <c r="J117" s="5" t="s">
        <v>222</v>
      </c>
      <c r="K117" s="5">
        <v>4.2</v>
      </c>
      <c r="L117" s="5">
        <v>976</v>
      </c>
      <c r="M117" s="5">
        <v>0.55000000000000004</v>
      </c>
      <c r="N117" s="5">
        <v>1790.0851063829789</v>
      </c>
      <c r="O117" s="5"/>
      <c r="P117" s="5" t="s">
        <v>222</v>
      </c>
      <c r="Q117" s="5" t="s">
        <v>55</v>
      </c>
      <c r="R117" s="5" t="s">
        <v>129</v>
      </c>
      <c r="S117" s="7" t="s">
        <v>2169</v>
      </c>
    </row>
    <row r="118" spans="1:19" x14ac:dyDescent="0.35">
      <c r="A118" s="6">
        <v>10162419</v>
      </c>
      <c r="B118" s="5" t="s">
        <v>200</v>
      </c>
      <c r="C118" s="5" t="s">
        <v>163</v>
      </c>
      <c r="D118" s="5" t="s">
        <v>194</v>
      </c>
      <c r="E118" s="5" t="s">
        <v>133</v>
      </c>
      <c r="F118" s="5" t="s">
        <v>2166</v>
      </c>
      <c r="G118" s="5"/>
      <c r="H118" s="5">
        <v>1299</v>
      </c>
      <c r="I118" s="5" t="s">
        <v>36</v>
      </c>
      <c r="J118" s="5" t="s">
        <v>192</v>
      </c>
      <c r="K118" s="5">
        <v>4.2</v>
      </c>
      <c r="L118" s="5">
        <v>976</v>
      </c>
      <c r="M118" s="5">
        <v>0.45</v>
      </c>
      <c r="N118" s="5">
        <v>1790.0851063829789</v>
      </c>
      <c r="O118" s="5"/>
      <c r="P118" s="5" t="s">
        <v>192</v>
      </c>
      <c r="Q118" s="5" t="s">
        <v>57</v>
      </c>
      <c r="R118" s="5" t="s">
        <v>129</v>
      </c>
      <c r="S118" s="7" t="s">
        <v>2167</v>
      </c>
    </row>
    <row r="119" spans="1:19" x14ac:dyDescent="0.35">
      <c r="A119" s="6">
        <v>11364360</v>
      </c>
      <c r="B119" s="5" t="s">
        <v>472</v>
      </c>
      <c r="C119" s="5" t="s">
        <v>163</v>
      </c>
      <c r="D119" s="5" t="s">
        <v>228</v>
      </c>
      <c r="E119" s="5" t="s">
        <v>133</v>
      </c>
      <c r="F119" s="5" t="s">
        <v>2164</v>
      </c>
      <c r="G119" s="5"/>
      <c r="H119" s="5">
        <v>2499</v>
      </c>
      <c r="I119" s="5" t="s">
        <v>209</v>
      </c>
      <c r="J119" s="5" t="s">
        <v>196</v>
      </c>
      <c r="K119" s="5">
        <v>4.4000000000000004</v>
      </c>
      <c r="L119" s="5">
        <v>976</v>
      </c>
      <c r="M119" s="5">
        <v>0.5</v>
      </c>
      <c r="N119" s="5">
        <v>1790.0851063829789</v>
      </c>
      <c r="O119" s="5"/>
      <c r="P119" s="5" t="s">
        <v>196</v>
      </c>
      <c r="Q119" s="5" t="s">
        <v>57</v>
      </c>
      <c r="R119" s="5" t="s">
        <v>129</v>
      </c>
      <c r="S119" s="7" t="s">
        <v>2165</v>
      </c>
    </row>
    <row r="120" spans="1:19" x14ac:dyDescent="0.35">
      <c r="A120" s="6">
        <v>12524810</v>
      </c>
      <c r="B120" s="5" t="s">
        <v>143</v>
      </c>
      <c r="C120" s="5" t="s">
        <v>235</v>
      </c>
      <c r="D120" s="5" t="s">
        <v>168</v>
      </c>
      <c r="E120" s="5" t="s">
        <v>133</v>
      </c>
      <c r="F120" s="5" t="s">
        <v>2162</v>
      </c>
      <c r="G120" s="5">
        <v>519</v>
      </c>
      <c r="H120" s="5">
        <v>1299</v>
      </c>
      <c r="I120" s="5" t="s">
        <v>314</v>
      </c>
      <c r="J120" s="5" t="s">
        <v>177</v>
      </c>
      <c r="K120" s="5">
        <v>4.3</v>
      </c>
      <c r="L120" s="5">
        <v>975</v>
      </c>
      <c r="M120" s="5">
        <v>0.6</v>
      </c>
      <c r="N120" s="5">
        <v>923.69459774582197</v>
      </c>
      <c r="O120" s="5">
        <v>519</v>
      </c>
      <c r="P120" s="5" t="s">
        <v>177</v>
      </c>
      <c r="Q120" s="5" t="s">
        <v>55</v>
      </c>
      <c r="R120" s="5" t="s">
        <v>129</v>
      </c>
      <c r="S120" s="7" t="s">
        <v>2163</v>
      </c>
    </row>
    <row r="121" spans="1:19" x14ac:dyDescent="0.35">
      <c r="A121" s="6">
        <v>10317827</v>
      </c>
      <c r="B121" s="5" t="s">
        <v>681</v>
      </c>
      <c r="C121" s="5" t="s">
        <v>235</v>
      </c>
      <c r="D121" s="5" t="s">
        <v>168</v>
      </c>
      <c r="E121" s="5" t="s">
        <v>133</v>
      </c>
      <c r="F121" s="5" t="s">
        <v>2160</v>
      </c>
      <c r="G121" s="5">
        <v>717</v>
      </c>
      <c r="H121" s="5">
        <v>1749</v>
      </c>
      <c r="I121" s="5" t="s">
        <v>160</v>
      </c>
      <c r="J121" s="5" t="s">
        <v>196</v>
      </c>
      <c r="K121" s="5">
        <v>4.0999999999999996</v>
      </c>
      <c r="L121" s="5">
        <v>975</v>
      </c>
      <c r="M121" s="5">
        <v>0.59</v>
      </c>
      <c r="N121" s="5">
        <v>923.69459774582197</v>
      </c>
      <c r="O121" s="5">
        <v>717</v>
      </c>
      <c r="P121" s="5" t="s">
        <v>196</v>
      </c>
      <c r="Q121" s="5" t="s">
        <v>55</v>
      </c>
      <c r="R121" s="5" t="s">
        <v>129</v>
      </c>
      <c r="S121" s="7" t="s">
        <v>2161</v>
      </c>
    </row>
    <row r="122" spans="1:19" x14ac:dyDescent="0.35">
      <c r="A122" s="6">
        <v>17382690</v>
      </c>
      <c r="B122" s="5" t="s">
        <v>250</v>
      </c>
      <c r="C122" s="5" t="s">
        <v>163</v>
      </c>
      <c r="D122" s="5" t="s">
        <v>77</v>
      </c>
      <c r="E122" s="5" t="s">
        <v>133</v>
      </c>
      <c r="F122" s="5" t="s">
        <v>928</v>
      </c>
      <c r="G122" s="5"/>
      <c r="H122" s="5">
        <v>1598</v>
      </c>
      <c r="I122" s="5" t="s">
        <v>209</v>
      </c>
      <c r="J122" s="5" t="s">
        <v>192</v>
      </c>
      <c r="K122" s="5">
        <v>4.3</v>
      </c>
      <c r="L122" s="5">
        <v>975</v>
      </c>
      <c r="M122" s="5">
        <v>0.5</v>
      </c>
      <c r="N122" s="5">
        <v>1790.0851063829789</v>
      </c>
      <c r="O122" s="5"/>
      <c r="P122" s="5" t="s">
        <v>192</v>
      </c>
      <c r="Q122" s="5" t="s">
        <v>57</v>
      </c>
      <c r="R122" s="5" t="s">
        <v>129</v>
      </c>
      <c r="S122" s="7" t="s">
        <v>2159</v>
      </c>
    </row>
    <row r="123" spans="1:19" x14ac:dyDescent="0.35">
      <c r="A123" s="6">
        <v>6625378</v>
      </c>
      <c r="B123" s="5" t="s">
        <v>164</v>
      </c>
      <c r="C123" s="5" t="s">
        <v>163</v>
      </c>
      <c r="D123" s="5" t="s">
        <v>228</v>
      </c>
      <c r="E123" s="5" t="s">
        <v>133</v>
      </c>
      <c r="F123" s="5" t="s">
        <v>2157</v>
      </c>
      <c r="G123" s="5"/>
      <c r="H123" s="5">
        <v>2449</v>
      </c>
      <c r="I123" s="5" t="s">
        <v>213</v>
      </c>
      <c r="J123" s="5" t="s">
        <v>212</v>
      </c>
      <c r="K123" s="5">
        <v>4.2</v>
      </c>
      <c r="L123" s="5">
        <v>975</v>
      </c>
      <c r="M123" s="5">
        <v>0.56999999999999995</v>
      </c>
      <c r="N123" s="5">
        <v>1790.0851063829789</v>
      </c>
      <c r="O123" s="5"/>
      <c r="P123" s="5" t="s">
        <v>212</v>
      </c>
      <c r="Q123" s="5" t="s">
        <v>55</v>
      </c>
      <c r="R123" s="5" t="s">
        <v>129</v>
      </c>
      <c r="S123" s="7" t="s">
        <v>2158</v>
      </c>
    </row>
    <row r="124" spans="1:19" x14ac:dyDescent="0.35">
      <c r="A124" s="6">
        <v>2344421</v>
      </c>
      <c r="B124" s="5" t="s">
        <v>136</v>
      </c>
      <c r="C124" s="5" t="s">
        <v>189</v>
      </c>
      <c r="D124" s="5" t="s">
        <v>162</v>
      </c>
      <c r="E124" s="5" t="s">
        <v>140</v>
      </c>
      <c r="F124" s="5" t="s">
        <v>2155</v>
      </c>
      <c r="G124" s="5">
        <v>799</v>
      </c>
      <c r="H124" s="5">
        <v>1999</v>
      </c>
      <c r="I124" s="5" t="s">
        <v>223</v>
      </c>
      <c r="J124" s="5" t="s">
        <v>408</v>
      </c>
      <c r="K124" s="5">
        <v>3.8</v>
      </c>
      <c r="L124" s="5">
        <v>974</v>
      </c>
      <c r="M124" s="5">
        <v>0.6</v>
      </c>
      <c r="N124" s="5">
        <v>1351.2078667815099</v>
      </c>
      <c r="O124" s="5">
        <v>799</v>
      </c>
      <c r="P124" s="5" t="s">
        <v>408</v>
      </c>
      <c r="Q124" s="5" t="s">
        <v>55</v>
      </c>
      <c r="R124" s="5" t="s">
        <v>129</v>
      </c>
      <c r="S124" s="7" t="s">
        <v>2156</v>
      </c>
    </row>
    <row r="125" spans="1:19" x14ac:dyDescent="0.35">
      <c r="A125" s="6">
        <v>2478316</v>
      </c>
      <c r="B125" s="5" t="s">
        <v>183</v>
      </c>
      <c r="C125" s="5" t="s">
        <v>142</v>
      </c>
      <c r="D125" s="5" t="s">
        <v>77</v>
      </c>
      <c r="E125" s="5" t="s">
        <v>140</v>
      </c>
      <c r="F125" s="5" t="s">
        <v>2153</v>
      </c>
      <c r="G125" s="5">
        <v>749</v>
      </c>
      <c r="H125" s="5">
        <v>1499</v>
      </c>
      <c r="I125" s="5" t="s">
        <v>209</v>
      </c>
      <c r="J125" s="5" t="s">
        <v>150</v>
      </c>
      <c r="K125" s="5">
        <v>4.0999999999999996</v>
      </c>
      <c r="L125" s="5">
        <v>974</v>
      </c>
      <c r="M125" s="5">
        <v>0.5</v>
      </c>
      <c r="N125" s="5">
        <v>1138.6340612208289</v>
      </c>
      <c r="O125" s="5">
        <v>749</v>
      </c>
      <c r="P125" s="5" t="s">
        <v>150</v>
      </c>
      <c r="Q125" s="5" t="s">
        <v>57</v>
      </c>
      <c r="R125" s="5" t="s">
        <v>129</v>
      </c>
      <c r="S125" s="7" t="s">
        <v>2154</v>
      </c>
    </row>
    <row r="126" spans="1:19" x14ac:dyDescent="0.35">
      <c r="A126" s="6">
        <v>11535126</v>
      </c>
      <c r="B126" s="5" t="s">
        <v>637</v>
      </c>
      <c r="C126" s="5" t="s">
        <v>135</v>
      </c>
      <c r="D126" s="5" t="s">
        <v>168</v>
      </c>
      <c r="E126" s="5" t="s">
        <v>133</v>
      </c>
      <c r="F126" s="5" t="s">
        <v>2151</v>
      </c>
      <c r="G126" s="5">
        <v>539</v>
      </c>
      <c r="H126" s="5">
        <v>1799</v>
      </c>
      <c r="I126" s="5" t="s">
        <v>283</v>
      </c>
      <c r="J126" s="5" t="s">
        <v>150</v>
      </c>
      <c r="K126" s="5">
        <v>4.0999999999999996</v>
      </c>
      <c r="L126" s="5">
        <v>974</v>
      </c>
      <c r="M126" s="5">
        <v>0.7</v>
      </c>
      <c r="N126" s="5">
        <v>1493.337491012077</v>
      </c>
      <c r="O126" s="5">
        <v>539</v>
      </c>
      <c r="P126" s="5" t="s">
        <v>150</v>
      </c>
      <c r="Q126" s="5" t="s">
        <v>55</v>
      </c>
      <c r="R126" s="5" t="s">
        <v>129</v>
      </c>
      <c r="S126" s="7" t="s">
        <v>2152</v>
      </c>
    </row>
    <row r="127" spans="1:19" x14ac:dyDescent="0.35">
      <c r="A127" s="6">
        <v>10939758</v>
      </c>
      <c r="B127" s="5" t="s">
        <v>200</v>
      </c>
      <c r="C127" s="5" t="s">
        <v>273</v>
      </c>
      <c r="D127" s="5" t="s">
        <v>272</v>
      </c>
      <c r="E127" s="5" t="s">
        <v>133</v>
      </c>
      <c r="F127" s="5" t="s">
        <v>2149</v>
      </c>
      <c r="G127" s="5">
        <v>194</v>
      </c>
      <c r="H127" s="5">
        <v>649</v>
      </c>
      <c r="I127" s="5" t="s">
        <v>283</v>
      </c>
      <c r="J127" s="5" t="s">
        <v>2148</v>
      </c>
      <c r="K127" s="5">
        <v>4.0999999999999996</v>
      </c>
      <c r="L127" s="5">
        <v>974</v>
      </c>
      <c r="M127" s="5">
        <v>0.7</v>
      </c>
      <c r="N127" s="5">
        <v>811.90284167198604</v>
      </c>
      <c r="O127" s="5">
        <v>194</v>
      </c>
      <c r="P127" s="5" t="s">
        <v>2148</v>
      </c>
      <c r="Q127" s="5" t="s">
        <v>55</v>
      </c>
      <c r="R127" s="5" t="s">
        <v>129</v>
      </c>
      <c r="S127" s="7" t="s">
        <v>2150</v>
      </c>
    </row>
    <row r="128" spans="1:19" x14ac:dyDescent="0.35">
      <c r="A128" s="6">
        <v>7140521</v>
      </c>
      <c r="B128" s="5" t="s">
        <v>225</v>
      </c>
      <c r="C128" s="5" t="s">
        <v>163</v>
      </c>
      <c r="D128" s="5" t="s">
        <v>77</v>
      </c>
      <c r="E128" s="5" t="s">
        <v>133</v>
      </c>
      <c r="F128" s="5" t="s">
        <v>1738</v>
      </c>
      <c r="G128" s="5"/>
      <c r="H128" s="5">
        <v>799</v>
      </c>
      <c r="I128" s="5" t="s">
        <v>178</v>
      </c>
      <c r="J128" s="5" t="s">
        <v>192</v>
      </c>
      <c r="K128" s="5">
        <v>4.2</v>
      </c>
      <c r="L128" s="5">
        <v>974</v>
      </c>
      <c r="M128" s="5">
        <v>0.55000000000000004</v>
      </c>
      <c r="N128" s="5">
        <v>1790.0851063829789</v>
      </c>
      <c r="O128" s="5"/>
      <c r="P128" s="5" t="s">
        <v>192</v>
      </c>
      <c r="Q128" s="5" t="s">
        <v>55</v>
      </c>
      <c r="R128" s="5" t="s">
        <v>129</v>
      </c>
      <c r="S128" s="7" t="s">
        <v>2147</v>
      </c>
    </row>
    <row r="129" spans="1:19" x14ac:dyDescent="0.35">
      <c r="A129" s="6">
        <v>10365147</v>
      </c>
      <c r="B129" s="5" t="s">
        <v>200</v>
      </c>
      <c r="C129" s="5" t="s">
        <v>163</v>
      </c>
      <c r="D129" s="5" t="s">
        <v>162</v>
      </c>
      <c r="E129" s="5" t="s">
        <v>133</v>
      </c>
      <c r="F129" s="5" t="s">
        <v>2145</v>
      </c>
      <c r="G129" s="5"/>
      <c r="H129" s="5">
        <v>1899</v>
      </c>
      <c r="I129" s="5"/>
      <c r="J129" s="5" t="s">
        <v>222</v>
      </c>
      <c r="K129" s="5">
        <v>4.0999999999999996</v>
      </c>
      <c r="L129" s="5">
        <v>974</v>
      </c>
      <c r="M129" s="5"/>
      <c r="N129" s="5">
        <v>1790.0851063829789</v>
      </c>
      <c r="O129" s="5">
        <v>1790.0851063829789</v>
      </c>
      <c r="P129" s="5" t="s">
        <v>222</v>
      </c>
      <c r="Q129" s="5" t="s">
        <v>57</v>
      </c>
      <c r="R129" s="5" t="s">
        <v>129</v>
      </c>
      <c r="S129" s="7" t="s">
        <v>2146</v>
      </c>
    </row>
    <row r="130" spans="1:19" x14ac:dyDescent="0.35">
      <c r="A130" s="6">
        <v>10054351</v>
      </c>
      <c r="B130" s="5" t="s">
        <v>394</v>
      </c>
      <c r="C130" s="5" t="s">
        <v>135</v>
      </c>
      <c r="D130" s="5" t="s">
        <v>168</v>
      </c>
      <c r="E130" s="5" t="s">
        <v>133</v>
      </c>
      <c r="F130" s="5" t="s">
        <v>1567</v>
      </c>
      <c r="G130" s="5">
        <v>659</v>
      </c>
      <c r="H130" s="5">
        <v>1199</v>
      </c>
      <c r="I130" s="5" t="s">
        <v>36</v>
      </c>
      <c r="J130" s="5" t="s">
        <v>391</v>
      </c>
      <c r="K130" s="5">
        <v>4.2</v>
      </c>
      <c r="L130" s="5">
        <v>973</v>
      </c>
      <c r="M130" s="5">
        <v>0.45</v>
      </c>
      <c r="N130" s="5">
        <v>1493.337491012077</v>
      </c>
      <c r="O130" s="5">
        <v>659</v>
      </c>
      <c r="P130" s="5" t="s">
        <v>391</v>
      </c>
      <c r="Q130" s="5" t="s">
        <v>57</v>
      </c>
      <c r="R130" s="5" t="s">
        <v>129</v>
      </c>
      <c r="S130" s="7" t="s">
        <v>2144</v>
      </c>
    </row>
    <row r="131" spans="1:19" x14ac:dyDescent="0.35">
      <c r="A131" s="6">
        <v>10960692</v>
      </c>
      <c r="B131" s="5" t="s">
        <v>460</v>
      </c>
      <c r="C131" s="5" t="s">
        <v>135</v>
      </c>
      <c r="D131" s="5" t="s">
        <v>168</v>
      </c>
      <c r="E131" s="5" t="s">
        <v>133</v>
      </c>
      <c r="F131" s="5" t="s">
        <v>2142</v>
      </c>
      <c r="G131" s="5">
        <v>674</v>
      </c>
      <c r="H131" s="5">
        <v>1499</v>
      </c>
      <c r="I131" s="5" t="s">
        <v>178</v>
      </c>
      <c r="J131" s="5" t="s">
        <v>458</v>
      </c>
      <c r="K131" s="5">
        <v>3.8</v>
      </c>
      <c r="L131" s="5">
        <v>973</v>
      </c>
      <c r="M131" s="5">
        <v>0.55000000000000004</v>
      </c>
      <c r="N131" s="5">
        <v>1493.337491012077</v>
      </c>
      <c r="O131" s="5">
        <v>674</v>
      </c>
      <c r="P131" s="5" t="s">
        <v>458</v>
      </c>
      <c r="Q131" s="5" t="s">
        <v>55</v>
      </c>
      <c r="R131" s="5" t="s">
        <v>129</v>
      </c>
      <c r="S131" s="7" t="s">
        <v>2143</v>
      </c>
    </row>
    <row r="132" spans="1:19" x14ac:dyDescent="0.35">
      <c r="A132" s="6">
        <v>13581338</v>
      </c>
      <c r="B132" s="5" t="s">
        <v>637</v>
      </c>
      <c r="C132" s="5" t="s">
        <v>135</v>
      </c>
      <c r="D132" s="5" t="s">
        <v>377</v>
      </c>
      <c r="E132" s="5" t="s">
        <v>133</v>
      </c>
      <c r="F132" s="5" t="s">
        <v>2140</v>
      </c>
      <c r="G132" s="5">
        <v>849</v>
      </c>
      <c r="H132" s="5">
        <v>2499</v>
      </c>
      <c r="I132" s="5" t="s">
        <v>401</v>
      </c>
      <c r="J132" s="5" t="s">
        <v>150</v>
      </c>
      <c r="K132" s="5">
        <v>4.0999999999999996</v>
      </c>
      <c r="L132" s="5">
        <v>973</v>
      </c>
      <c r="M132" s="5">
        <v>0.66</v>
      </c>
      <c r="N132" s="5">
        <v>1493.337491012077</v>
      </c>
      <c r="O132" s="5">
        <v>849</v>
      </c>
      <c r="P132" s="5" t="s">
        <v>150</v>
      </c>
      <c r="Q132" s="5" t="s">
        <v>55</v>
      </c>
      <c r="R132" s="5" t="s">
        <v>129</v>
      </c>
      <c r="S132" s="7" t="s">
        <v>2141</v>
      </c>
    </row>
    <row r="133" spans="1:19" x14ac:dyDescent="0.35">
      <c r="A133" s="6">
        <v>7487820</v>
      </c>
      <c r="B133" s="5" t="s">
        <v>1178</v>
      </c>
      <c r="C133" s="5" t="s">
        <v>273</v>
      </c>
      <c r="D133" s="5" t="s">
        <v>373</v>
      </c>
      <c r="E133" s="5" t="s">
        <v>133</v>
      </c>
      <c r="F133" s="5" t="s">
        <v>2138</v>
      </c>
      <c r="G133" s="5">
        <v>991</v>
      </c>
      <c r="H133" s="5">
        <v>1599</v>
      </c>
      <c r="I133" s="5" t="s">
        <v>1255</v>
      </c>
      <c r="J133" s="5" t="s">
        <v>212</v>
      </c>
      <c r="K133" s="5">
        <v>4.3</v>
      </c>
      <c r="L133" s="5">
        <v>973</v>
      </c>
      <c r="M133" s="5">
        <v>0.38</v>
      </c>
      <c r="N133" s="5">
        <v>811.90284167198604</v>
      </c>
      <c r="O133" s="5">
        <v>991</v>
      </c>
      <c r="P133" s="5" t="s">
        <v>212</v>
      </c>
      <c r="Q133" s="5" t="s">
        <v>57</v>
      </c>
      <c r="R133" s="5" t="s">
        <v>129</v>
      </c>
      <c r="S133" s="7" t="s">
        <v>2139</v>
      </c>
    </row>
    <row r="134" spans="1:19" x14ac:dyDescent="0.35">
      <c r="A134" s="6">
        <v>782799</v>
      </c>
      <c r="B134" s="5" t="s">
        <v>1206</v>
      </c>
      <c r="C134" s="5" t="s">
        <v>273</v>
      </c>
      <c r="D134" s="5" t="s">
        <v>442</v>
      </c>
      <c r="E134" s="5" t="s">
        <v>133</v>
      </c>
      <c r="F134" s="5" t="s">
        <v>2136</v>
      </c>
      <c r="G134" s="5">
        <v>485</v>
      </c>
      <c r="H134" s="5">
        <v>607</v>
      </c>
      <c r="I134" s="5" t="s">
        <v>876</v>
      </c>
      <c r="J134" s="5" t="s">
        <v>150</v>
      </c>
      <c r="K134" s="5">
        <v>3.8</v>
      </c>
      <c r="L134" s="5">
        <v>973</v>
      </c>
      <c r="M134" s="5">
        <v>0.2</v>
      </c>
      <c r="N134" s="5">
        <v>811.90284167198604</v>
      </c>
      <c r="O134" s="5">
        <v>485</v>
      </c>
      <c r="P134" s="5" t="s">
        <v>150</v>
      </c>
      <c r="Q134" s="5" t="s">
        <v>57</v>
      </c>
      <c r="R134" s="5" t="s">
        <v>129</v>
      </c>
      <c r="S134" s="7" t="s">
        <v>2137</v>
      </c>
    </row>
    <row r="135" spans="1:19" x14ac:dyDescent="0.35">
      <c r="A135" s="6">
        <v>14225120</v>
      </c>
      <c r="B135" s="5" t="s">
        <v>2134</v>
      </c>
      <c r="C135" s="5" t="s">
        <v>75</v>
      </c>
      <c r="D135" s="5" t="s">
        <v>568</v>
      </c>
      <c r="E135" s="5" t="s">
        <v>133</v>
      </c>
      <c r="F135" s="5" t="s">
        <v>2133</v>
      </c>
      <c r="G135" s="5">
        <v>539</v>
      </c>
      <c r="H135" s="5">
        <v>1499</v>
      </c>
      <c r="I135" s="5" t="s">
        <v>306</v>
      </c>
      <c r="J135" s="5" t="s">
        <v>150</v>
      </c>
      <c r="K135" s="5">
        <v>4</v>
      </c>
      <c r="L135" s="5">
        <v>973</v>
      </c>
      <c r="M135" s="5">
        <v>0.64</v>
      </c>
      <c r="N135" s="5">
        <v>1097.3783736315199</v>
      </c>
      <c r="O135" s="5">
        <v>539</v>
      </c>
      <c r="P135" s="5" t="s">
        <v>150</v>
      </c>
      <c r="Q135" s="5" t="s">
        <v>55</v>
      </c>
      <c r="R135" s="5" t="s">
        <v>129</v>
      </c>
      <c r="S135" s="7" t="s">
        <v>2135</v>
      </c>
    </row>
    <row r="136" spans="1:19" x14ac:dyDescent="0.35">
      <c r="A136" s="6">
        <v>8475747</v>
      </c>
      <c r="B136" s="5" t="s">
        <v>152</v>
      </c>
      <c r="C136" s="5" t="s">
        <v>75</v>
      </c>
      <c r="D136" s="5" t="s">
        <v>568</v>
      </c>
      <c r="E136" s="5" t="s">
        <v>133</v>
      </c>
      <c r="F136" s="5" t="s">
        <v>2131</v>
      </c>
      <c r="G136" s="5">
        <v>764</v>
      </c>
      <c r="H136" s="5">
        <v>1699</v>
      </c>
      <c r="I136" s="5" t="s">
        <v>178</v>
      </c>
      <c r="J136" s="5" t="s">
        <v>196</v>
      </c>
      <c r="K136" s="5">
        <v>4</v>
      </c>
      <c r="L136" s="5">
        <v>973</v>
      </c>
      <c r="M136" s="5">
        <v>0.55000000000000004</v>
      </c>
      <c r="N136" s="5">
        <v>1097.3783736315199</v>
      </c>
      <c r="O136" s="5">
        <v>764</v>
      </c>
      <c r="P136" s="5" t="s">
        <v>196</v>
      </c>
      <c r="Q136" s="5" t="s">
        <v>55</v>
      </c>
      <c r="R136" s="5" t="s">
        <v>129</v>
      </c>
      <c r="S136" s="7" t="s">
        <v>2132</v>
      </c>
    </row>
    <row r="137" spans="1:19" x14ac:dyDescent="0.35">
      <c r="A137" s="6">
        <v>10891012</v>
      </c>
      <c r="B137" s="5" t="s">
        <v>216</v>
      </c>
      <c r="C137" s="5" t="s">
        <v>75</v>
      </c>
      <c r="D137" s="5" t="s">
        <v>77</v>
      </c>
      <c r="E137" s="5" t="s">
        <v>140</v>
      </c>
      <c r="F137" s="5" t="s">
        <v>2129</v>
      </c>
      <c r="G137" s="5">
        <v>515</v>
      </c>
      <c r="H137" s="5">
        <v>1199</v>
      </c>
      <c r="I137" s="5" t="s">
        <v>213</v>
      </c>
      <c r="J137" s="5" t="s">
        <v>212</v>
      </c>
      <c r="K137" s="5">
        <v>4</v>
      </c>
      <c r="L137" s="5">
        <v>972</v>
      </c>
      <c r="M137" s="5">
        <v>0.56999999999999995</v>
      </c>
      <c r="N137" s="5">
        <v>1097.3783736315199</v>
      </c>
      <c r="O137" s="5">
        <v>515</v>
      </c>
      <c r="P137" s="5" t="s">
        <v>212</v>
      </c>
      <c r="Q137" s="5" t="s">
        <v>55</v>
      </c>
      <c r="R137" s="5" t="s">
        <v>129</v>
      </c>
      <c r="S137" s="7" t="s">
        <v>2130</v>
      </c>
    </row>
    <row r="138" spans="1:19" x14ac:dyDescent="0.35">
      <c r="A138" s="6">
        <v>4453300</v>
      </c>
      <c r="B138" s="5" t="s">
        <v>152</v>
      </c>
      <c r="C138" s="5" t="s">
        <v>75</v>
      </c>
      <c r="D138" s="5" t="s">
        <v>493</v>
      </c>
      <c r="E138" s="5" t="s">
        <v>140</v>
      </c>
      <c r="F138" s="5" t="s">
        <v>2127</v>
      </c>
      <c r="G138" s="5">
        <v>1329</v>
      </c>
      <c r="H138" s="5">
        <v>3799</v>
      </c>
      <c r="I138" s="5" t="s">
        <v>197</v>
      </c>
      <c r="J138" s="5" t="s">
        <v>150</v>
      </c>
      <c r="K138" s="5">
        <v>4.3</v>
      </c>
      <c r="L138" s="5">
        <v>972</v>
      </c>
      <c r="M138" s="5">
        <v>0.65</v>
      </c>
      <c r="N138" s="5">
        <v>1097.3783736315199</v>
      </c>
      <c r="O138" s="5">
        <v>1329</v>
      </c>
      <c r="P138" s="5" t="s">
        <v>150</v>
      </c>
      <c r="Q138" s="5" t="s">
        <v>55</v>
      </c>
      <c r="R138" s="5" t="s">
        <v>129</v>
      </c>
      <c r="S138" s="7" t="s">
        <v>2128</v>
      </c>
    </row>
    <row r="139" spans="1:19" x14ac:dyDescent="0.35">
      <c r="A139" s="6">
        <v>15241816</v>
      </c>
      <c r="B139" s="5" t="s">
        <v>308</v>
      </c>
      <c r="C139" s="5" t="s">
        <v>135</v>
      </c>
      <c r="D139" s="5" t="s">
        <v>168</v>
      </c>
      <c r="E139" s="5" t="s">
        <v>133</v>
      </c>
      <c r="F139" s="5" t="s">
        <v>2125</v>
      </c>
      <c r="G139" s="5">
        <v>979</v>
      </c>
      <c r="H139" s="5">
        <v>2799</v>
      </c>
      <c r="I139" s="5" t="s">
        <v>197</v>
      </c>
      <c r="J139" s="5" t="s">
        <v>150</v>
      </c>
      <c r="K139" s="5">
        <v>4.0999999999999996</v>
      </c>
      <c r="L139" s="5">
        <v>972</v>
      </c>
      <c r="M139" s="5">
        <v>0.65</v>
      </c>
      <c r="N139" s="5">
        <v>1493.337491012077</v>
      </c>
      <c r="O139" s="5">
        <v>979</v>
      </c>
      <c r="P139" s="5" t="s">
        <v>150</v>
      </c>
      <c r="Q139" s="5" t="s">
        <v>55</v>
      </c>
      <c r="R139" s="5" t="s">
        <v>129</v>
      </c>
      <c r="S139" s="7" t="s">
        <v>2126</v>
      </c>
    </row>
    <row r="140" spans="1:19" x14ac:dyDescent="0.35">
      <c r="A140" s="6">
        <v>12277596</v>
      </c>
      <c r="B140" s="5" t="s">
        <v>424</v>
      </c>
      <c r="C140" s="5" t="s">
        <v>163</v>
      </c>
      <c r="D140" s="5" t="s">
        <v>188</v>
      </c>
      <c r="E140" s="5" t="s">
        <v>133</v>
      </c>
      <c r="F140" s="5" t="s">
        <v>2123</v>
      </c>
      <c r="G140" s="5"/>
      <c r="H140" s="5">
        <v>1799</v>
      </c>
      <c r="I140" s="5" t="s">
        <v>209</v>
      </c>
      <c r="J140" s="5" t="s">
        <v>505</v>
      </c>
      <c r="K140" s="5">
        <v>4.3</v>
      </c>
      <c r="L140" s="5">
        <v>972</v>
      </c>
      <c r="M140" s="5">
        <v>0.5</v>
      </c>
      <c r="N140" s="5">
        <v>1790.0851063829789</v>
      </c>
      <c r="O140" s="5"/>
      <c r="P140" s="5" t="s">
        <v>505</v>
      </c>
      <c r="Q140" s="5" t="s">
        <v>57</v>
      </c>
      <c r="R140" s="5" t="s">
        <v>129</v>
      </c>
      <c r="S140" s="7" t="s">
        <v>2124</v>
      </c>
    </row>
    <row r="141" spans="1:19" x14ac:dyDescent="0.35">
      <c r="A141" s="6">
        <v>2371017</v>
      </c>
      <c r="B141" s="5" t="s">
        <v>397</v>
      </c>
      <c r="C141" s="5" t="s">
        <v>163</v>
      </c>
      <c r="D141" s="5" t="s">
        <v>141</v>
      </c>
      <c r="E141" s="5" t="s">
        <v>133</v>
      </c>
      <c r="F141" s="5" t="s">
        <v>2121</v>
      </c>
      <c r="G141" s="5"/>
      <c r="H141" s="5">
        <v>1799</v>
      </c>
      <c r="I141" s="5" t="s">
        <v>223</v>
      </c>
      <c r="J141" s="5" t="s">
        <v>192</v>
      </c>
      <c r="K141" s="5">
        <v>4.4000000000000004</v>
      </c>
      <c r="L141" s="5">
        <v>972</v>
      </c>
      <c r="M141" s="5">
        <v>0.6</v>
      </c>
      <c r="N141" s="5">
        <v>1790.0851063829789</v>
      </c>
      <c r="O141" s="5"/>
      <c r="P141" s="5" t="s">
        <v>192</v>
      </c>
      <c r="Q141" s="5" t="s">
        <v>55</v>
      </c>
      <c r="R141" s="5" t="s">
        <v>129</v>
      </c>
      <c r="S141" s="7" t="s">
        <v>2122</v>
      </c>
    </row>
    <row r="142" spans="1:19" x14ac:dyDescent="0.35">
      <c r="A142" s="6">
        <v>11542062</v>
      </c>
      <c r="B142" s="5" t="s">
        <v>250</v>
      </c>
      <c r="C142" s="5" t="s">
        <v>163</v>
      </c>
      <c r="D142" s="5" t="s">
        <v>162</v>
      </c>
      <c r="E142" s="5" t="s">
        <v>133</v>
      </c>
      <c r="F142" s="5" t="s">
        <v>2119</v>
      </c>
      <c r="G142" s="5"/>
      <c r="H142" s="5">
        <v>2999</v>
      </c>
      <c r="I142" s="5" t="s">
        <v>178</v>
      </c>
      <c r="J142" s="5" t="s">
        <v>222</v>
      </c>
      <c r="K142" s="5">
        <v>4.3</v>
      </c>
      <c r="L142" s="5">
        <v>972</v>
      </c>
      <c r="M142" s="5">
        <v>0.55000000000000004</v>
      </c>
      <c r="N142" s="5">
        <v>1790.0851063829789</v>
      </c>
      <c r="O142" s="5"/>
      <c r="P142" s="5" t="s">
        <v>222</v>
      </c>
      <c r="Q142" s="5" t="s">
        <v>55</v>
      </c>
      <c r="R142" s="5" t="s">
        <v>129</v>
      </c>
      <c r="S142" s="7" t="s">
        <v>2120</v>
      </c>
    </row>
    <row r="143" spans="1:19" x14ac:dyDescent="0.35">
      <c r="A143" s="6">
        <v>8353077</v>
      </c>
      <c r="B143" s="5" t="s">
        <v>250</v>
      </c>
      <c r="C143" s="5" t="s">
        <v>163</v>
      </c>
      <c r="D143" s="5" t="s">
        <v>77</v>
      </c>
      <c r="E143" s="5" t="s">
        <v>133</v>
      </c>
      <c r="F143" s="5" t="s">
        <v>2117</v>
      </c>
      <c r="G143" s="5"/>
      <c r="H143" s="5">
        <v>799</v>
      </c>
      <c r="I143" s="5" t="s">
        <v>209</v>
      </c>
      <c r="J143" s="5" t="s">
        <v>192</v>
      </c>
      <c r="K143" s="5">
        <v>4.3</v>
      </c>
      <c r="L143" s="5">
        <v>972</v>
      </c>
      <c r="M143" s="5">
        <v>0.5</v>
      </c>
      <c r="N143" s="5">
        <v>1790.0851063829789</v>
      </c>
      <c r="O143" s="5"/>
      <c r="P143" s="5" t="s">
        <v>192</v>
      </c>
      <c r="Q143" s="5" t="s">
        <v>57</v>
      </c>
      <c r="R143" s="5" t="s">
        <v>129</v>
      </c>
      <c r="S143" s="7" t="s">
        <v>2118</v>
      </c>
    </row>
    <row r="144" spans="1:19" x14ac:dyDescent="0.35">
      <c r="A144" s="6">
        <v>1753425</v>
      </c>
      <c r="B144" s="5" t="s">
        <v>250</v>
      </c>
      <c r="C144" s="5" t="s">
        <v>163</v>
      </c>
      <c r="D144" s="5" t="s">
        <v>77</v>
      </c>
      <c r="E144" s="5" t="s">
        <v>133</v>
      </c>
      <c r="F144" s="5" t="s">
        <v>2115</v>
      </c>
      <c r="G144" s="5"/>
      <c r="H144" s="5">
        <v>799</v>
      </c>
      <c r="I144" s="5" t="s">
        <v>209</v>
      </c>
      <c r="J144" s="5" t="s">
        <v>192</v>
      </c>
      <c r="K144" s="5">
        <v>4</v>
      </c>
      <c r="L144" s="5">
        <v>972</v>
      </c>
      <c r="M144" s="5">
        <v>0.5</v>
      </c>
      <c r="N144" s="5">
        <v>1790.0851063829789</v>
      </c>
      <c r="O144" s="5"/>
      <c r="P144" s="5" t="s">
        <v>192</v>
      </c>
      <c r="Q144" s="5" t="s">
        <v>57</v>
      </c>
      <c r="R144" s="5" t="s">
        <v>129</v>
      </c>
      <c r="S144" s="7" t="s">
        <v>2116</v>
      </c>
    </row>
    <row r="145" spans="1:19" x14ac:dyDescent="0.35">
      <c r="A145" s="6">
        <v>12816474</v>
      </c>
      <c r="B145" s="5" t="s">
        <v>143</v>
      </c>
      <c r="C145" s="5" t="s">
        <v>142</v>
      </c>
      <c r="D145" s="5" t="s">
        <v>77</v>
      </c>
      <c r="E145" s="5" t="s">
        <v>140</v>
      </c>
      <c r="F145" s="5" t="s">
        <v>2113</v>
      </c>
      <c r="G145" s="5">
        <v>239</v>
      </c>
      <c r="H145" s="5">
        <v>599</v>
      </c>
      <c r="I145" s="5" t="s">
        <v>223</v>
      </c>
      <c r="J145" s="5" t="s">
        <v>212</v>
      </c>
      <c r="K145" s="5">
        <v>3.8</v>
      </c>
      <c r="L145" s="5">
        <v>971</v>
      </c>
      <c r="M145" s="5">
        <v>0.6</v>
      </c>
      <c r="N145" s="5">
        <v>1138.6340612208289</v>
      </c>
      <c r="O145" s="5">
        <v>239</v>
      </c>
      <c r="P145" s="5" t="s">
        <v>212</v>
      </c>
      <c r="Q145" s="5" t="s">
        <v>55</v>
      </c>
      <c r="R145" s="5" t="s">
        <v>129</v>
      </c>
      <c r="S145" s="7" t="s">
        <v>2114</v>
      </c>
    </row>
    <row r="146" spans="1:19" x14ac:dyDescent="0.35">
      <c r="A146" s="6">
        <v>12817380</v>
      </c>
      <c r="B146" s="5" t="s">
        <v>143</v>
      </c>
      <c r="C146" s="5" t="s">
        <v>142</v>
      </c>
      <c r="D146" s="5" t="s">
        <v>77</v>
      </c>
      <c r="E146" s="5" t="s">
        <v>140</v>
      </c>
      <c r="F146" s="5" t="s">
        <v>2111</v>
      </c>
      <c r="G146" s="5">
        <v>329</v>
      </c>
      <c r="H146" s="5">
        <v>599</v>
      </c>
      <c r="I146" s="5" t="s">
        <v>36</v>
      </c>
      <c r="J146" s="5" t="s">
        <v>212</v>
      </c>
      <c r="K146" s="5">
        <v>4.3</v>
      </c>
      <c r="L146" s="5">
        <v>971</v>
      </c>
      <c r="M146" s="5">
        <v>0.45</v>
      </c>
      <c r="N146" s="5">
        <v>1138.6340612208289</v>
      </c>
      <c r="O146" s="5">
        <v>329</v>
      </c>
      <c r="P146" s="5" t="s">
        <v>212</v>
      </c>
      <c r="Q146" s="5" t="s">
        <v>57</v>
      </c>
      <c r="R146" s="5" t="s">
        <v>129</v>
      </c>
      <c r="S146" s="7" t="s">
        <v>2112</v>
      </c>
    </row>
    <row r="147" spans="1:19" x14ac:dyDescent="0.35">
      <c r="A147" s="6">
        <v>8860565</v>
      </c>
      <c r="B147" s="5" t="s">
        <v>180</v>
      </c>
      <c r="C147" s="5" t="s">
        <v>135</v>
      </c>
      <c r="D147" s="5" t="s">
        <v>194</v>
      </c>
      <c r="E147" s="5" t="s">
        <v>133</v>
      </c>
      <c r="F147" s="5" t="s">
        <v>2109</v>
      </c>
      <c r="G147" s="5">
        <v>849</v>
      </c>
      <c r="H147" s="5">
        <v>1699</v>
      </c>
      <c r="I147" s="5" t="s">
        <v>209</v>
      </c>
      <c r="J147" s="5" t="s">
        <v>177</v>
      </c>
      <c r="K147" s="5">
        <v>4.3</v>
      </c>
      <c r="L147" s="5">
        <v>971</v>
      </c>
      <c r="M147" s="5">
        <v>0.5</v>
      </c>
      <c r="N147" s="5">
        <v>1493.337491012077</v>
      </c>
      <c r="O147" s="5">
        <v>849</v>
      </c>
      <c r="P147" s="5" t="s">
        <v>177</v>
      </c>
      <c r="Q147" s="5" t="s">
        <v>57</v>
      </c>
      <c r="R147" s="5" t="s">
        <v>129</v>
      </c>
      <c r="S147" s="7" t="s">
        <v>2110</v>
      </c>
    </row>
    <row r="148" spans="1:19" x14ac:dyDescent="0.35">
      <c r="A148" s="6">
        <v>17381456</v>
      </c>
      <c r="B148" s="5" t="s">
        <v>250</v>
      </c>
      <c r="C148" s="5" t="s">
        <v>163</v>
      </c>
      <c r="D148" s="5" t="s">
        <v>77</v>
      </c>
      <c r="E148" s="5" t="s">
        <v>133</v>
      </c>
      <c r="F148" s="5" t="s">
        <v>791</v>
      </c>
      <c r="G148" s="5"/>
      <c r="H148" s="5">
        <v>1198</v>
      </c>
      <c r="I148" s="5" t="s">
        <v>209</v>
      </c>
      <c r="J148" s="5" t="s">
        <v>192</v>
      </c>
      <c r="K148" s="5">
        <v>4.3</v>
      </c>
      <c r="L148" s="5">
        <v>971</v>
      </c>
      <c r="M148" s="5">
        <v>0.5</v>
      </c>
      <c r="N148" s="5">
        <v>1790.0851063829789</v>
      </c>
      <c r="O148" s="5"/>
      <c r="P148" s="5" t="s">
        <v>192</v>
      </c>
      <c r="Q148" s="5" t="s">
        <v>57</v>
      </c>
      <c r="R148" s="5" t="s">
        <v>129</v>
      </c>
      <c r="S148" s="7" t="s">
        <v>2108</v>
      </c>
    </row>
    <row r="149" spans="1:19" x14ac:dyDescent="0.35">
      <c r="A149" s="6">
        <v>17383018</v>
      </c>
      <c r="B149" s="5" t="s">
        <v>250</v>
      </c>
      <c r="C149" s="5" t="s">
        <v>163</v>
      </c>
      <c r="D149" s="5" t="s">
        <v>77</v>
      </c>
      <c r="E149" s="5" t="s">
        <v>133</v>
      </c>
      <c r="F149" s="5" t="s">
        <v>2106</v>
      </c>
      <c r="G149" s="5"/>
      <c r="H149" s="5">
        <v>1498</v>
      </c>
      <c r="I149" s="5" t="s">
        <v>209</v>
      </c>
      <c r="J149" s="5" t="s">
        <v>323</v>
      </c>
      <c r="K149" s="5">
        <v>4.3</v>
      </c>
      <c r="L149" s="5">
        <v>971</v>
      </c>
      <c r="M149" s="5">
        <v>0.5</v>
      </c>
      <c r="N149" s="5">
        <v>1790.0851063829789</v>
      </c>
      <c r="O149" s="5"/>
      <c r="P149" s="5" t="s">
        <v>323</v>
      </c>
      <c r="Q149" s="5" t="s">
        <v>57</v>
      </c>
      <c r="R149" s="5" t="s">
        <v>129</v>
      </c>
      <c r="S149" s="7" t="s">
        <v>2107</v>
      </c>
    </row>
    <row r="150" spans="1:19" x14ac:dyDescent="0.35">
      <c r="A150" s="6">
        <v>10856446</v>
      </c>
      <c r="B150" s="5" t="s">
        <v>250</v>
      </c>
      <c r="C150" s="5" t="s">
        <v>163</v>
      </c>
      <c r="D150" s="5" t="s">
        <v>194</v>
      </c>
      <c r="E150" s="5" t="s">
        <v>133</v>
      </c>
      <c r="F150" s="5" t="s">
        <v>2104</v>
      </c>
      <c r="G150" s="5"/>
      <c r="H150" s="5">
        <v>1499</v>
      </c>
      <c r="I150" s="5" t="s">
        <v>223</v>
      </c>
      <c r="J150" s="5" t="s">
        <v>192</v>
      </c>
      <c r="K150" s="5">
        <v>4</v>
      </c>
      <c r="L150" s="5">
        <v>971</v>
      </c>
      <c r="M150" s="5">
        <v>0.6</v>
      </c>
      <c r="N150" s="5">
        <v>1790.0851063829789</v>
      </c>
      <c r="O150" s="5"/>
      <c r="P150" s="5" t="s">
        <v>192</v>
      </c>
      <c r="Q150" s="5" t="s">
        <v>55</v>
      </c>
      <c r="R150" s="5" t="s">
        <v>129</v>
      </c>
      <c r="S150" s="7" t="s">
        <v>2105</v>
      </c>
    </row>
    <row r="151" spans="1:19" x14ac:dyDescent="0.35">
      <c r="A151" s="6">
        <v>2472860</v>
      </c>
      <c r="B151" s="5" t="s">
        <v>460</v>
      </c>
      <c r="C151" s="5" t="s">
        <v>135</v>
      </c>
      <c r="D151" s="5" t="s">
        <v>168</v>
      </c>
      <c r="E151" s="5" t="s">
        <v>133</v>
      </c>
      <c r="F151" s="5" t="s">
        <v>2102</v>
      </c>
      <c r="G151" s="5">
        <v>809</v>
      </c>
      <c r="H151" s="5">
        <v>1799</v>
      </c>
      <c r="I151" s="5" t="s">
        <v>178</v>
      </c>
      <c r="J151" s="5" t="s">
        <v>196</v>
      </c>
      <c r="K151" s="5">
        <v>3.7</v>
      </c>
      <c r="L151" s="5">
        <v>970</v>
      </c>
      <c r="M151" s="5">
        <v>0.55000000000000004</v>
      </c>
      <c r="N151" s="5">
        <v>1493.337491012077</v>
      </c>
      <c r="O151" s="5">
        <v>809</v>
      </c>
      <c r="P151" s="5" t="s">
        <v>196</v>
      </c>
      <c r="Q151" s="5" t="s">
        <v>55</v>
      </c>
      <c r="R151" s="5" t="s">
        <v>129</v>
      </c>
      <c r="S151" s="7" t="s">
        <v>2103</v>
      </c>
    </row>
    <row r="152" spans="1:19" x14ac:dyDescent="0.35">
      <c r="A152" s="6">
        <v>13249520</v>
      </c>
      <c r="B152" s="5" t="s">
        <v>180</v>
      </c>
      <c r="C152" s="5" t="s">
        <v>235</v>
      </c>
      <c r="D152" s="5" t="s">
        <v>228</v>
      </c>
      <c r="E152" s="5" t="s">
        <v>133</v>
      </c>
      <c r="F152" s="5" t="s">
        <v>2100</v>
      </c>
      <c r="G152" s="5">
        <v>519</v>
      </c>
      <c r="H152" s="5">
        <v>1299</v>
      </c>
      <c r="I152" s="5" t="s">
        <v>314</v>
      </c>
      <c r="J152" s="5" t="s">
        <v>177</v>
      </c>
      <c r="K152" s="5">
        <v>4</v>
      </c>
      <c r="L152" s="5">
        <v>970</v>
      </c>
      <c r="M152" s="5">
        <v>0.6</v>
      </c>
      <c r="N152" s="5">
        <v>923.69459774582197</v>
      </c>
      <c r="O152" s="5">
        <v>519</v>
      </c>
      <c r="P152" s="5" t="s">
        <v>177</v>
      </c>
      <c r="Q152" s="5" t="s">
        <v>55</v>
      </c>
      <c r="R152" s="5" t="s">
        <v>129</v>
      </c>
      <c r="S152" s="7" t="s">
        <v>2101</v>
      </c>
    </row>
    <row r="153" spans="1:19" x14ac:dyDescent="0.35">
      <c r="A153" s="6">
        <v>2167359</v>
      </c>
      <c r="B153" s="5" t="s">
        <v>250</v>
      </c>
      <c r="C153" s="5" t="s">
        <v>189</v>
      </c>
      <c r="D153" s="5" t="s">
        <v>188</v>
      </c>
      <c r="E153" s="5" t="s">
        <v>140</v>
      </c>
      <c r="F153" s="5" t="s">
        <v>2098</v>
      </c>
      <c r="G153" s="5">
        <v>899</v>
      </c>
      <c r="H153" s="5">
        <v>1999</v>
      </c>
      <c r="I153" s="5" t="s">
        <v>178</v>
      </c>
      <c r="J153" s="5" t="s">
        <v>408</v>
      </c>
      <c r="K153" s="5">
        <v>4.2</v>
      </c>
      <c r="L153" s="5">
        <v>969</v>
      </c>
      <c r="M153" s="5">
        <v>0.55000000000000004</v>
      </c>
      <c r="N153" s="5">
        <v>1351.2078667815099</v>
      </c>
      <c r="O153" s="5">
        <v>899</v>
      </c>
      <c r="P153" s="5" t="s">
        <v>408</v>
      </c>
      <c r="Q153" s="5" t="s">
        <v>55</v>
      </c>
      <c r="R153" s="5" t="s">
        <v>129</v>
      </c>
      <c r="S153" s="7" t="s">
        <v>2099</v>
      </c>
    </row>
    <row r="154" spans="1:19" x14ac:dyDescent="0.35">
      <c r="A154" s="6">
        <v>2338881</v>
      </c>
      <c r="B154" s="5" t="s">
        <v>183</v>
      </c>
      <c r="C154" s="5" t="s">
        <v>142</v>
      </c>
      <c r="D154" s="5" t="s">
        <v>77</v>
      </c>
      <c r="E154" s="5" t="s">
        <v>140</v>
      </c>
      <c r="F154" s="5" t="s">
        <v>2096</v>
      </c>
      <c r="G154" s="5">
        <v>399</v>
      </c>
      <c r="H154" s="5">
        <v>799</v>
      </c>
      <c r="I154" s="5" t="s">
        <v>209</v>
      </c>
      <c r="J154" s="5" t="s">
        <v>150</v>
      </c>
      <c r="K154" s="5">
        <v>4.3</v>
      </c>
      <c r="L154" s="5">
        <v>969</v>
      </c>
      <c r="M154" s="5">
        <v>0.5</v>
      </c>
      <c r="N154" s="5">
        <v>1138.6340612208289</v>
      </c>
      <c r="O154" s="5">
        <v>399</v>
      </c>
      <c r="P154" s="5" t="s">
        <v>150</v>
      </c>
      <c r="Q154" s="5" t="s">
        <v>57</v>
      </c>
      <c r="R154" s="5" t="s">
        <v>129</v>
      </c>
      <c r="S154" s="7" t="s">
        <v>2097</v>
      </c>
    </row>
    <row r="155" spans="1:19" x14ac:dyDescent="0.35">
      <c r="A155" s="6">
        <v>10188591</v>
      </c>
      <c r="B155" s="5" t="s">
        <v>183</v>
      </c>
      <c r="C155" s="5" t="s">
        <v>142</v>
      </c>
      <c r="D155" s="5" t="s">
        <v>77</v>
      </c>
      <c r="E155" s="5" t="s">
        <v>140</v>
      </c>
      <c r="F155" s="5" t="s">
        <v>2094</v>
      </c>
      <c r="G155" s="5">
        <v>449</v>
      </c>
      <c r="H155" s="5">
        <v>899</v>
      </c>
      <c r="I155" s="5" t="s">
        <v>209</v>
      </c>
      <c r="J155" s="5" t="s">
        <v>150</v>
      </c>
      <c r="K155" s="5">
        <v>4.3</v>
      </c>
      <c r="L155" s="5">
        <v>969</v>
      </c>
      <c r="M155" s="5">
        <v>0.5</v>
      </c>
      <c r="N155" s="5">
        <v>1138.6340612208289</v>
      </c>
      <c r="O155" s="5">
        <v>449</v>
      </c>
      <c r="P155" s="5" t="s">
        <v>150</v>
      </c>
      <c r="Q155" s="5" t="s">
        <v>57</v>
      </c>
      <c r="R155" s="5" t="s">
        <v>129</v>
      </c>
      <c r="S155" s="7" t="s">
        <v>2095</v>
      </c>
    </row>
    <row r="156" spans="1:19" x14ac:dyDescent="0.35">
      <c r="A156" s="6">
        <v>1829161</v>
      </c>
      <c r="B156" s="5" t="s">
        <v>807</v>
      </c>
      <c r="C156" s="5" t="s">
        <v>163</v>
      </c>
      <c r="D156" s="5" t="s">
        <v>228</v>
      </c>
      <c r="E156" s="5" t="s">
        <v>133</v>
      </c>
      <c r="F156" s="5" t="s">
        <v>2092</v>
      </c>
      <c r="G156" s="5"/>
      <c r="H156" s="5">
        <v>1299</v>
      </c>
      <c r="I156" s="5" t="s">
        <v>209</v>
      </c>
      <c r="J156" s="5" t="s">
        <v>212</v>
      </c>
      <c r="K156" s="5">
        <v>3.7</v>
      </c>
      <c r="L156" s="5">
        <v>969</v>
      </c>
      <c r="M156" s="5">
        <v>0.5</v>
      </c>
      <c r="N156" s="5">
        <v>1790.0851063829789</v>
      </c>
      <c r="O156" s="5"/>
      <c r="P156" s="5" t="s">
        <v>212</v>
      </c>
      <c r="Q156" s="5" t="s">
        <v>57</v>
      </c>
      <c r="R156" s="5" t="s">
        <v>129</v>
      </c>
      <c r="S156" s="7" t="s">
        <v>2093</v>
      </c>
    </row>
    <row r="157" spans="1:19" x14ac:dyDescent="0.35">
      <c r="A157" s="6">
        <v>11363214</v>
      </c>
      <c r="B157" s="5" t="s">
        <v>183</v>
      </c>
      <c r="C157" s="5" t="s">
        <v>142</v>
      </c>
      <c r="D157" s="5" t="s">
        <v>77</v>
      </c>
      <c r="E157" s="5" t="s">
        <v>140</v>
      </c>
      <c r="F157" s="5" t="s">
        <v>2090</v>
      </c>
      <c r="G157" s="5">
        <v>384</v>
      </c>
      <c r="H157" s="5">
        <v>699</v>
      </c>
      <c r="I157" s="5" t="s">
        <v>36</v>
      </c>
      <c r="J157" s="5" t="s">
        <v>150</v>
      </c>
      <c r="K157" s="5">
        <v>4.5</v>
      </c>
      <c r="L157" s="5">
        <v>968</v>
      </c>
      <c r="M157" s="5">
        <v>0.45</v>
      </c>
      <c r="N157" s="5">
        <v>1138.6340612208289</v>
      </c>
      <c r="O157" s="5">
        <v>384</v>
      </c>
      <c r="P157" s="5" t="s">
        <v>150</v>
      </c>
      <c r="Q157" s="5" t="s">
        <v>57</v>
      </c>
      <c r="R157" s="5" t="s">
        <v>129</v>
      </c>
      <c r="S157" s="7" t="s">
        <v>2091</v>
      </c>
    </row>
    <row r="158" spans="1:19" x14ac:dyDescent="0.35">
      <c r="A158" s="6">
        <v>7340681</v>
      </c>
      <c r="B158" s="5" t="s">
        <v>329</v>
      </c>
      <c r="C158" s="5" t="s">
        <v>273</v>
      </c>
      <c r="D158" s="5" t="s">
        <v>1496</v>
      </c>
      <c r="E158" s="5" t="s">
        <v>133</v>
      </c>
      <c r="F158" s="5" t="s">
        <v>2088</v>
      </c>
      <c r="G158" s="5">
        <v>893</v>
      </c>
      <c r="H158" s="5">
        <v>1295</v>
      </c>
      <c r="I158" s="5" t="s">
        <v>2087</v>
      </c>
      <c r="J158" s="5" t="s">
        <v>150</v>
      </c>
      <c r="K158" s="5">
        <v>4.2</v>
      </c>
      <c r="L158" s="5">
        <v>968</v>
      </c>
      <c r="M158" s="5">
        <v>0.31</v>
      </c>
      <c r="N158" s="5">
        <v>811.90284167198604</v>
      </c>
      <c r="O158" s="5">
        <v>893</v>
      </c>
      <c r="P158" s="5" t="s">
        <v>150</v>
      </c>
      <c r="Q158" s="5" t="s">
        <v>57</v>
      </c>
      <c r="R158" s="5" t="s">
        <v>129</v>
      </c>
      <c r="S158" s="7" t="s">
        <v>2089</v>
      </c>
    </row>
    <row r="159" spans="1:19" x14ac:dyDescent="0.35">
      <c r="A159" s="6">
        <v>11938894</v>
      </c>
      <c r="B159" s="5" t="s">
        <v>2085</v>
      </c>
      <c r="C159" s="5" t="s">
        <v>273</v>
      </c>
      <c r="D159" s="5" t="s">
        <v>2084</v>
      </c>
      <c r="E159" s="5" t="s">
        <v>133</v>
      </c>
      <c r="F159" s="5" t="s">
        <v>2083</v>
      </c>
      <c r="G159" s="5">
        <v>489</v>
      </c>
      <c r="H159" s="5">
        <v>999</v>
      </c>
      <c r="I159" s="5" t="s">
        <v>279</v>
      </c>
      <c r="J159" s="5" t="s">
        <v>171</v>
      </c>
      <c r="K159" s="5">
        <v>4.0999999999999996</v>
      </c>
      <c r="L159" s="5">
        <v>968</v>
      </c>
      <c r="M159" s="5">
        <v>0.51</v>
      </c>
      <c r="N159" s="5">
        <v>811.90284167198604</v>
      </c>
      <c r="O159" s="5">
        <v>489</v>
      </c>
      <c r="P159" s="5" t="s">
        <v>171</v>
      </c>
      <c r="Q159" s="5" t="s">
        <v>55</v>
      </c>
      <c r="R159" s="5" t="s">
        <v>129</v>
      </c>
      <c r="S159" s="7" t="s">
        <v>2086</v>
      </c>
    </row>
    <row r="160" spans="1:19" x14ac:dyDescent="0.35">
      <c r="A160" s="6">
        <v>2332166</v>
      </c>
      <c r="B160" s="5" t="s">
        <v>152</v>
      </c>
      <c r="C160" s="5" t="s">
        <v>75</v>
      </c>
      <c r="D160" s="5" t="s">
        <v>199</v>
      </c>
      <c r="E160" s="5" t="s">
        <v>133</v>
      </c>
      <c r="F160" s="5" t="s">
        <v>2081</v>
      </c>
      <c r="G160" s="5">
        <v>899</v>
      </c>
      <c r="H160" s="5">
        <v>1499</v>
      </c>
      <c r="I160" s="5" t="s">
        <v>131</v>
      </c>
      <c r="J160" s="5" t="s">
        <v>196</v>
      </c>
      <c r="K160" s="5">
        <v>4.3</v>
      </c>
      <c r="L160" s="5">
        <v>968</v>
      </c>
      <c r="M160" s="5">
        <v>0.4</v>
      </c>
      <c r="N160" s="5">
        <v>1097.3783736315199</v>
      </c>
      <c r="O160" s="5">
        <v>899</v>
      </c>
      <c r="P160" s="5" t="s">
        <v>196</v>
      </c>
      <c r="Q160" s="5" t="s">
        <v>57</v>
      </c>
      <c r="R160" s="5" t="s">
        <v>129</v>
      </c>
      <c r="S160" s="7" t="s">
        <v>2082</v>
      </c>
    </row>
    <row r="161" spans="1:19" x14ac:dyDescent="0.35">
      <c r="A161" s="6">
        <v>11199262</v>
      </c>
      <c r="B161" s="5" t="s">
        <v>460</v>
      </c>
      <c r="C161" s="5" t="s">
        <v>163</v>
      </c>
      <c r="D161" s="5" t="s">
        <v>228</v>
      </c>
      <c r="E161" s="5" t="s">
        <v>133</v>
      </c>
      <c r="F161" s="5" t="s">
        <v>2079</v>
      </c>
      <c r="G161" s="5"/>
      <c r="H161" s="5">
        <v>1699</v>
      </c>
      <c r="I161" s="5" t="s">
        <v>178</v>
      </c>
      <c r="J161" s="5" t="s">
        <v>196</v>
      </c>
      <c r="K161" s="5">
        <v>4.3</v>
      </c>
      <c r="L161" s="5">
        <v>968</v>
      </c>
      <c r="M161" s="5">
        <v>0.55000000000000004</v>
      </c>
      <c r="N161" s="5">
        <v>1790.0851063829789</v>
      </c>
      <c r="O161" s="5"/>
      <c r="P161" s="5" t="s">
        <v>196</v>
      </c>
      <c r="Q161" s="5" t="s">
        <v>55</v>
      </c>
      <c r="R161" s="5" t="s">
        <v>129</v>
      </c>
      <c r="S161" s="7" t="s">
        <v>2080</v>
      </c>
    </row>
    <row r="162" spans="1:19" x14ac:dyDescent="0.35">
      <c r="A162" s="6">
        <v>11544142</v>
      </c>
      <c r="B162" s="5" t="s">
        <v>169</v>
      </c>
      <c r="C162" s="5" t="s">
        <v>163</v>
      </c>
      <c r="D162" s="5" t="s">
        <v>228</v>
      </c>
      <c r="E162" s="5" t="s">
        <v>133</v>
      </c>
      <c r="F162" s="5" t="s">
        <v>2077</v>
      </c>
      <c r="G162" s="5"/>
      <c r="H162" s="5">
        <v>2299</v>
      </c>
      <c r="I162" s="5" t="s">
        <v>392</v>
      </c>
      <c r="J162" s="5" t="s">
        <v>150</v>
      </c>
      <c r="K162" s="5">
        <v>4.3</v>
      </c>
      <c r="L162" s="5">
        <v>968</v>
      </c>
      <c r="M162" s="5">
        <v>0.63</v>
      </c>
      <c r="N162" s="5">
        <v>1790.0851063829789</v>
      </c>
      <c r="O162" s="5"/>
      <c r="P162" s="5" t="s">
        <v>150</v>
      </c>
      <c r="Q162" s="5" t="s">
        <v>55</v>
      </c>
      <c r="R162" s="5" t="s">
        <v>129</v>
      </c>
      <c r="S162" s="7" t="s">
        <v>2078</v>
      </c>
    </row>
    <row r="163" spans="1:19" x14ac:dyDescent="0.35">
      <c r="A163" s="6">
        <v>8788237</v>
      </c>
      <c r="B163" s="5" t="s">
        <v>250</v>
      </c>
      <c r="C163" s="5" t="s">
        <v>189</v>
      </c>
      <c r="D163" s="5" t="s">
        <v>162</v>
      </c>
      <c r="E163" s="5" t="s">
        <v>140</v>
      </c>
      <c r="F163" s="5" t="s">
        <v>1525</v>
      </c>
      <c r="G163" s="5">
        <v>1349</v>
      </c>
      <c r="H163" s="5">
        <v>2699</v>
      </c>
      <c r="I163" s="5" t="s">
        <v>209</v>
      </c>
      <c r="J163" s="5" t="s">
        <v>624</v>
      </c>
      <c r="K163" s="5">
        <v>3.6</v>
      </c>
      <c r="L163" s="5">
        <v>967</v>
      </c>
      <c r="M163" s="5">
        <v>0.5</v>
      </c>
      <c r="N163" s="5">
        <v>1351.2078667815099</v>
      </c>
      <c r="O163" s="5">
        <v>1349</v>
      </c>
      <c r="P163" s="5" t="s">
        <v>624</v>
      </c>
      <c r="Q163" s="5" t="s">
        <v>57</v>
      </c>
      <c r="R163" s="5" t="s">
        <v>129</v>
      </c>
      <c r="S163" s="7" t="s">
        <v>2076</v>
      </c>
    </row>
    <row r="164" spans="1:19" x14ac:dyDescent="0.35">
      <c r="A164" s="6">
        <v>7224693</v>
      </c>
      <c r="B164" s="5" t="s">
        <v>2074</v>
      </c>
      <c r="C164" s="5" t="s">
        <v>156</v>
      </c>
      <c r="D164" s="5" t="s">
        <v>220</v>
      </c>
      <c r="E164" s="5" t="s">
        <v>140</v>
      </c>
      <c r="F164" s="5" t="s">
        <v>2073</v>
      </c>
      <c r="G164" s="5"/>
      <c r="H164" s="5">
        <v>399</v>
      </c>
      <c r="I164" s="5"/>
      <c r="J164" s="5" t="s">
        <v>171</v>
      </c>
      <c r="K164" s="5">
        <v>4.5</v>
      </c>
      <c r="L164" s="5">
        <v>967</v>
      </c>
      <c r="M164" s="5"/>
      <c r="N164" s="5">
        <v>691.83976143141149</v>
      </c>
      <c r="O164" s="5">
        <v>691.83976143141149</v>
      </c>
      <c r="P164" s="5" t="s">
        <v>171</v>
      </c>
      <c r="Q164" s="5" t="s">
        <v>57</v>
      </c>
      <c r="R164" s="5" t="s">
        <v>129</v>
      </c>
      <c r="S164" s="7" t="s">
        <v>2075</v>
      </c>
    </row>
    <row r="165" spans="1:19" x14ac:dyDescent="0.35">
      <c r="A165" s="6">
        <v>1729348</v>
      </c>
      <c r="B165" s="5" t="s">
        <v>183</v>
      </c>
      <c r="C165" s="5" t="s">
        <v>142</v>
      </c>
      <c r="D165" s="5" t="s">
        <v>141</v>
      </c>
      <c r="E165" s="5" t="s">
        <v>140</v>
      </c>
      <c r="F165" s="5" t="s">
        <v>2071</v>
      </c>
      <c r="G165" s="5">
        <v>1099</v>
      </c>
      <c r="H165" s="5">
        <v>2199</v>
      </c>
      <c r="I165" s="5" t="s">
        <v>209</v>
      </c>
      <c r="J165" s="5" t="s">
        <v>208</v>
      </c>
      <c r="K165" s="5">
        <v>4.0999999999999996</v>
      </c>
      <c r="L165" s="5">
        <v>967</v>
      </c>
      <c r="M165" s="5">
        <v>0.5</v>
      </c>
      <c r="N165" s="5">
        <v>1138.6340612208289</v>
      </c>
      <c r="O165" s="5">
        <v>1099</v>
      </c>
      <c r="P165" s="5" t="s">
        <v>208</v>
      </c>
      <c r="Q165" s="5" t="s">
        <v>57</v>
      </c>
      <c r="R165" s="5" t="s">
        <v>129</v>
      </c>
      <c r="S165" s="7" t="s">
        <v>2072</v>
      </c>
    </row>
    <row r="166" spans="1:19" x14ac:dyDescent="0.35">
      <c r="A166" s="6">
        <v>11531248</v>
      </c>
      <c r="B166" s="5" t="s">
        <v>637</v>
      </c>
      <c r="C166" s="5" t="s">
        <v>135</v>
      </c>
      <c r="D166" s="5" t="s">
        <v>377</v>
      </c>
      <c r="E166" s="5" t="s">
        <v>133</v>
      </c>
      <c r="F166" s="5" t="s">
        <v>2069</v>
      </c>
      <c r="G166" s="5">
        <v>883</v>
      </c>
      <c r="H166" s="5">
        <v>2599</v>
      </c>
      <c r="I166" s="5" t="s">
        <v>401</v>
      </c>
      <c r="J166" s="5" t="s">
        <v>150</v>
      </c>
      <c r="K166" s="5">
        <v>4.3</v>
      </c>
      <c r="L166" s="5">
        <v>967</v>
      </c>
      <c r="M166" s="5">
        <v>0.66</v>
      </c>
      <c r="N166" s="5">
        <v>1493.337491012077</v>
      </c>
      <c r="O166" s="5">
        <v>883</v>
      </c>
      <c r="P166" s="5" t="s">
        <v>150</v>
      </c>
      <c r="Q166" s="5" t="s">
        <v>55</v>
      </c>
      <c r="R166" s="5" t="s">
        <v>129</v>
      </c>
      <c r="S166" s="7" t="s">
        <v>2070</v>
      </c>
    </row>
    <row r="167" spans="1:19" x14ac:dyDescent="0.35">
      <c r="A167" s="6">
        <v>11293698</v>
      </c>
      <c r="B167" s="5" t="s">
        <v>200</v>
      </c>
      <c r="C167" s="5" t="s">
        <v>163</v>
      </c>
      <c r="D167" s="5" t="s">
        <v>162</v>
      </c>
      <c r="E167" s="5" t="s">
        <v>133</v>
      </c>
      <c r="F167" s="5" t="s">
        <v>2067</v>
      </c>
      <c r="G167" s="5"/>
      <c r="H167" s="5">
        <v>1699</v>
      </c>
      <c r="I167" s="5" t="s">
        <v>223</v>
      </c>
      <c r="J167" s="5" t="s">
        <v>222</v>
      </c>
      <c r="K167" s="5">
        <v>3.9</v>
      </c>
      <c r="L167" s="5">
        <v>967</v>
      </c>
      <c r="M167" s="5">
        <v>0.6</v>
      </c>
      <c r="N167" s="5">
        <v>1790.0851063829789</v>
      </c>
      <c r="O167" s="5"/>
      <c r="P167" s="5" t="s">
        <v>222</v>
      </c>
      <c r="Q167" s="5" t="s">
        <v>55</v>
      </c>
      <c r="R167" s="5" t="s">
        <v>129</v>
      </c>
      <c r="S167" s="7" t="s">
        <v>2068</v>
      </c>
    </row>
    <row r="168" spans="1:19" x14ac:dyDescent="0.35">
      <c r="A168" s="6">
        <v>16324984</v>
      </c>
      <c r="B168" s="5" t="s">
        <v>717</v>
      </c>
      <c r="C168" s="5" t="s">
        <v>142</v>
      </c>
      <c r="D168" s="5" t="s">
        <v>215</v>
      </c>
      <c r="E168" s="5" t="s">
        <v>140</v>
      </c>
      <c r="F168" s="5" t="s">
        <v>2065</v>
      </c>
      <c r="G168" s="5"/>
      <c r="H168" s="5">
        <v>799</v>
      </c>
      <c r="I168" s="5"/>
      <c r="J168" s="5" t="s">
        <v>196</v>
      </c>
      <c r="K168" s="5">
        <v>4.3</v>
      </c>
      <c r="L168" s="5">
        <v>966</v>
      </c>
      <c r="M168" s="5"/>
      <c r="N168" s="5">
        <v>1138.6340612208289</v>
      </c>
      <c r="O168" s="5">
        <v>1138.6340612208289</v>
      </c>
      <c r="P168" s="5" t="s">
        <v>196</v>
      </c>
      <c r="Q168" s="5" t="s">
        <v>57</v>
      </c>
      <c r="R168" s="5" t="s">
        <v>129</v>
      </c>
      <c r="S168" s="7" t="s">
        <v>2066</v>
      </c>
    </row>
    <row r="169" spans="1:19" x14ac:dyDescent="0.35">
      <c r="A169" s="6">
        <v>10106159</v>
      </c>
      <c r="B169" s="5" t="s">
        <v>152</v>
      </c>
      <c r="C169" s="5" t="s">
        <v>75</v>
      </c>
      <c r="D169" s="5" t="s">
        <v>568</v>
      </c>
      <c r="E169" s="5" t="s">
        <v>133</v>
      </c>
      <c r="F169" s="5" t="s">
        <v>2063</v>
      </c>
      <c r="G169" s="5"/>
      <c r="H169" s="5">
        <v>1799</v>
      </c>
      <c r="I169" s="5"/>
      <c r="J169" s="5" t="s">
        <v>196</v>
      </c>
      <c r="K169" s="5">
        <v>4.2</v>
      </c>
      <c r="L169" s="5">
        <v>966</v>
      </c>
      <c r="M169" s="5"/>
      <c r="N169" s="5">
        <v>1097.3783736315199</v>
      </c>
      <c r="O169" s="5">
        <v>1097.3783736315199</v>
      </c>
      <c r="P169" s="5" t="s">
        <v>196</v>
      </c>
      <c r="Q169" s="5" t="s">
        <v>57</v>
      </c>
      <c r="R169" s="5" t="s">
        <v>129</v>
      </c>
      <c r="S169" s="7" t="s">
        <v>2064</v>
      </c>
    </row>
    <row r="170" spans="1:19" x14ac:dyDescent="0.35">
      <c r="A170" s="6">
        <v>13532760</v>
      </c>
      <c r="B170" s="5" t="s">
        <v>1607</v>
      </c>
      <c r="C170" s="5" t="s">
        <v>163</v>
      </c>
      <c r="D170" s="5" t="s">
        <v>194</v>
      </c>
      <c r="E170" s="5" t="s">
        <v>133</v>
      </c>
      <c r="F170" s="5" t="s">
        <v>2061</v>
      </c>
      <c r="G170" s="5"/>
      <c r="H170" s="5">
        <v>1399</v>
      </c>
      <c r="I170" s="5" t="s">
        <v>209</v>
      </c>
      <c r="J170" s="5" t="s">
        <v>422</v>
      </c>
      <c r="K170" s="5">
        <v>3.9</v>
      </c>
      <c r="L170" s="5">
        <v>966</v>
      </c>
      <c r="M170" s="5">
        <v>0.5</v>
      </c>
      <c r="N170" s="5">
        <v>1790.0851063829789</v>
      </c>
      <c r="O170" s="5"/>
      <c r="P170" s="5" t="s">
        <v>422</v>
      </c>
      <c r="Q170" s="5" t="s">
        <v>57</v>
      </c>
      <c r="R170" s="5" t="s">
        <v>129</v>
      </c>
      <c r="S170" s="7" t="s">
        <v>2062</v>
      </c>
    </row>
    <row r="171" spans="1:19" x14ac:dyDescent="0.35">
      <c r="A171" s="6">
        <v>17383440</v>
      </c>
      <c r="B171" s="5" t="s">
        <v>250</v>
      </c>
      <c r="C171" s="5" t="s">
        <v>163</v>
      </c>
      <c r="D171" s="5" t="s">
        <v>77</v>
      </c>
      <c r="E171" s="5" t="s">
        <v>133</v>
      </c>
      <c r="F171" s="5" t="s">
        <v>899</v>
      </c>
      <c r="G171" s="5"/>
      <c r="H171" s="5">
        <v>1598</v>
      </c>
      <c r="I171" s="5" t="s">
        <v>209</v>
      </c>
      <c r="J171" s="5" t="s">
        <v>255</v>
      </c>
      <c r="K171" s="5">
        <v>4.3</v>
      </c>
      <c r="L171" s="5">
        <v>966</v>
      </c>
      <c r="M171" s="5">
        <v>0.5</v>
      </c>
      <c r="N171" s="5">
        <v>1790.0851063829789</v>
      </c>
      <c r="O171" s="5"/>
      <c r="P171" s="5" t="s">
        <v>255</v>
      </c>
      <c r="Q171" s="5" t="s">
        <v>57</v>
      </c>
      <c r="R171" s="5" t="s">
        <v>129</v>
      </c>
      <c r="S171" s="7" t="s">
        <v>2060</v>
      </c>
    </row>
    <row r="172" spans="1:19" x14ac:dyDescent="0.35">
      <c r="A172" s="6">
        <v>12974208</v>
      </c>
      <c r="B172" s="5" t="s">
        <v>2058</v>
      </c>
      <c r="C172" s="5" t="s">
        <v>163</v>
      </c>
      <c r="D172" s="5" t="s">
        <v>228</v>
      </c>
      <c r="E172" s="5" t="s">
        <v>133</v>
      </c>
      <c r="F172" s="5" t="s">
        <v>2057</v>
      </c>
      <c r="G172" s="5"/>
      <c r="H172" s="5">
        <v>2799</v>
      </c>
      <c r="I172" s="5" t="s">
        <v>209</v>
      </c>
      <c r="J172" s="5" t="s">
        <v>196</v>
      </c>
      <c r="K172" s="5">
        <v>4.2</v>
      </c>
      <c r="L172" s="5">
        <v>966</v>
      </c>
      <c r="M172" s="5">
        <v>0.5</v>
      </c>
      <c r="N172" s="5">
        <v>1790.0851063829789</v>
      </c>
      <c r="O172" s="5"/>
      <c r="P172" s="5" t="s">
        <v>196</v>
      </c>
      <c r="Q172" s="5" t="s">
        <v>57</v>
      </c>
      <c r="R172" s="5" t="s">
        <v>129</v>
      </c>
      <c r="S172" s="7" t="s">
        <v>2059</v>
      </c>
    </row>
    <row r="173" spans="1:19" x14ac:dyDescent="0.35">
      <c r="A173" s="6">
        <v>11296016</v>
      </c>
      <c r="B173" s="5" t="s">
        <v>250</v>
      </c>
      <c r="C173" s="5" t="s">
        <v>163</v>
      </c>
      <c r="D173" s="5" t="s">
        <v>77</v>
      </c>
      <c r="E173" s="5" t="s">
        <v>133</v>
      </c>
      <c r="F173" s="5" t="s">
        <v>2055</v>
      </c>
      <c r="G173" s="5"/>
      <c r="H173" s="5">
        <v>799</v>
      </c>
      <c r="I173" s="5" t="s">
        <v>178</v>
      </c>
      <c r="J173" s="5" t="s">
        <v>192</v>
      </c>
      <c r="K173" s="5">
        <v>4</v>
      </c>
      <c r="L173" s="5">
        <v>966</v>
      </c>
      <c r="M173" s="5">
        <v>0.55000000000000004</v>
      </c>
      <c r="N173" s="5">
        <v>1790.0851063829789</v>
      </c>
      <c r="O173" s="5"/>
      <c r="P173" s="5" t="s">
        <v>192</v>
      </c>
      <c r="Q173" s="5" t="s">
        <v>55</v>
      </c>
      <c r="R173" s="5" t="s">
        <v>129</v>
      </c>
      <c r="S173" s="7" t="s">
        <v>2056</v>
      </c>
    </row>
    <row r="174" spans="1:19" x14ac:dyDescent="0.35">
      <c r="A174" s="6">
        <v>9768169</v>
      </c>
      <c r="B174" s="5" t="s">
        <v>183</v>
      </c>
      <c r="C174" s="5" t="s">
        <v>142</v>
      </c>
      <c r="D174" s="5" t="s">
        <v>77</v>
      </c>
      <c r="E174" s="5" t="s">
        <v>140</v>
      </c>
      <c r="F174" s="5" t="s">
        <v>2053</v>
      </c>
      <c r="G174" s="5">
        <v>649</v>
      </c>
      <c r="H174" s="5">
        <v>1299</v>
      </c>
      <c r="I174" s="5" t="s">
        <v>209</v>
      </c>
      <c r="J174" s="5" t="s">
        <v>150</v>
      </c>
      <c r="K174" s="5">
        <v>3.8</v>
      </c>
      <c r="L174" s="5">
        <v>965</v>
      </c>
      <c r="M174" s="5">
        <v>0.5</v>
      </c>
      <c r="N174" s="5">
        <v>1138.6340612208289</v>
      </c>
      <c r="O174" s="5">
        <v>649</v>
      </c>
      <c r="P174" s="5" t="s">
        <v>150</v>
      </c>
      <c r="Q174" s="5" t="s">
        <v>57</v>
      </c>
      <c r="R174" s="5" t="s">
        <v>129</v>
      </c>
      <c r="S174" s="7" t="s">
        <v>2054</v>
      </c>
    </row>
    <row r="175" spans="1:19" x14ac:dyDescent="0.35">
      <c r="A175" s="6">
        <v>13983654</v>
      </c>
      <c r="B175" s="5" t="s">
        <v>200</v>
      </c>
      <c r="C175" s="5" t="s">
        <v>273</v>
      </c>
      <c r="D175" s="5" t="s">
        <v>272</v>
      </c>
      <c r="E175" s="5" t="s">
        <v>133</v>
      </c>
      <c r="F175" s="5" t="s">
        <v>2051</v>
      </c>
      <c r="G175" s="5">
        <v>164</v>
      </c>
      <c r="H175" s="5">
        <v>549</v>
      </c>
      <c r="I175" s="5" t="s">
        <v>283</v>
      </c>
      <c r="J175" s="5" t="s">
        <v>212</v>
      </c>
      <c r="K175" s="5">
        <v>4.4000000000000004</v>
      </c>
      <c r="L175" s="5">
        <v>965</v>
      </c>
      <c r="M175" s="5">
        <v>0.7</v>
      </c>
      <c r="N175" s="5">
        <v>811.90284167198604</v>
      </c>
      <c r="O175" s="5">
        <v>164</v>
      </c>
      <c r="P175" s="5" t="s">
        <v>212</v>
      </c>
      <c r="Q175" s="5" t="s">
        <v>55</v>
      </c>
      <c r="R175" s="5" t="s">
        <v>129</v>
      </c>
      <c r="S175" s="7" t="s">
        <v>2052</v>
      </c>
    </row>
    <row r="176" spans="1:19" x14ac:dyDescent="0.35">
      <c r="A176" s="6">
        <v>5678795</v>
      </c>
      <c r="B176" s="5" t="s">
        <v>329</v>
      </c>
      <c r="C176" s="5" t="s">
        <v>273</v>
      </c>
      <c r="D176" s="5" t="s">
        <v>272</v>
      </c>
      <c r="E176" s="5" t="s">
        <v>133</v>
      </c>
      <c r="F176" s="5" t="s">
        <v>2049</v>
      </c>
      <c r="G176" s="5">
        <v>396</v>
      </c>
      <c r="H176" s="5">
        <v>695</v>
      </c>
      <c r="I176" s="5" t="s">
        <v>1748</v>
      </c>
      <c r="J176" s="5" t="s">
        <v>609</v>
      </c>
      <c r="K176" s="5">
        <v>4.0999999999999996</v>
      </c>
      <c r="L176" s="5">
        <v>965</v>
      </c>
      <c r="M176" s="5">
        <v>0.43</v>
      </c>
      <c r="N176" s="5">
        <v>811.90284167198604</v>
      </c>
      <c r="O176" s="5">
        <v>396</v>
      </c>
      <c r="P176" s="5" t="s">
        <v>609</v>
      </c>
      <c r="Q176" s="5" t="s">
        <v>57</v>
      </c>
      <c r="R176" s="5" t="s">
        <v>129</v>
      </c>
      <c r="S176" s="7" t="s">
        <v>2050</v>
      </c>
    </row>
    <row r="177" spans="1:19" x14ac:dyDescent="0.35">
      <c r="A177" s="6">
        <v>12670196</v>
      </c>
      <c r="B177" s="5" t="s">
        <v>938</v>
      </c>
      <c r="C177" s="5" t="s">
        <v>163</v>
      </c>
      <c r="D177" s="5" t="s">
        <v>134</v>
      </c>
      <c r="E177" s="5" t="s">
        <v>133</v>
      </c>
      <c r="F177" s="5" t="s">
        <v>2047</v>
      </c>
      <c r="G177" s="5"/>
      <c r="H177" s="5">
        <v>1199</v>
      </c>
      <c r="I177" s="5" t="s">
        <v>213</v>
      </c>
      <c r="J177" s="5" t="s">
        <v>505</v>
      </c>
      <c r="K177" s="5">
        <v>4.3</v>
      </c>
      <c r="L177" s="5">
        <v>965</v>
      </c>
      <c r="M177" s="5">
        <v>0.56999999999999995</v>
      </c>
      <c r="N177" s="5">
        <v>1790.0851063829789</v>
      </c>
      <c r="O177" s="5"/>
      <c r="P177" s="5" t="s">
        <v>505</v>
      </c>
      <c r="Q177" s="5" t="s">
        <v>55</v>
      </c>
      <c r="R177" s="5" t="s">
        <v>129</v>
      </c>
      <c r="S177" s="7" t="s">
        <v>2048</v>
      </c>
    </row>
    <row r="178" spans="1:19" x14ac:dyDescent="0.35">
      <c r="A178" s="6">
        <v>17382832</v>
      </c>
      <c r="B178" s="5" t="s">
        <v>250</v>
      </c>
      <c r="C178" s="5" t="s">
        <v>163</v>
      </c>
      <c r="D178" s="5" t="s">
        <v>77</v>
      </c>
      <c r="E178" s="5" t="s">
        <v>133</v>
      </c>
      <c r="F178" s="5" t="s">
        <v>928</v>
      </c>
      <c r="G178" s="5"/>
      <c r="H178" s="5">
        <v>1598</v>
      </c>
      <c r="I178" s="5" t="s">
        <v>209</v>
      </c>
      <c r="J178" s="5" t="s">
        <v>255</v>
      </c>
      <c r="K178" s="5">
        <v>4.2</v>
      </c>
      <c r="L178" s="5">
        <v>965</v>
      </c>
      <c r="M178" s="5">
        <v>0.5</v>
      </c>
      <c r="N178" s="5">
        <v>1790.0851063829789</v>
      </c>
      <c r="O178" s="5"/>
      <c r="P178" s="5" t="s">
        <v>255</v>
      </c>
      <c r="Q178" s="5" t="s">
        <v>57</v>
      </c>
      <c r="R178" s="5" t="s">
        <v>129</v>
      </c>
      <c r="S178" s="7" t="s">
        <v>2046</v>
      </c>
    </row>
    <row r="179" spans="1:19" x14ac:dyDescent="0.35">
      <c r="A179" s="6">
        <v>12956584</v>
      </c>
      <c r="B179" s="5" t="s">
        <v>540</v>
      </c>
      <c r="C179" s="5" t="s">
        <v>163</v>
      </c>
      <c r="D179" s="5" t="s">
        <v>228</v>
      </c>
      <c r="E179" s="5" t="s">
        <v>133</v>
      </c>
      <c r="F179" s="5" t="s">
        <v>2044</v>
      </c>
      <c r="G179" s="5"/>
      <c r="H179" s="5">
        <v>1999</v>
      </c>
      <c r="I179" s="5" t="s">
        <v>178</v>
      </c>
      <c r="J179" s="5" t="s">
        <v>196</v>
      </c>
      <c r="K179" s="5">
        <v>4.3</v>
      </c>
      <c r="L179" s="5">
        <v>965</v>
      </c>
      <c r="M179" s="5">
        <v>0.55000000000000004</v>
      </c>
      <c r="N179" s="5">
        <v>1790.0851063829789</v>
      </c>
      <c r="O179" s="5"/>
      <c r="P179" s="5" t="s">
        <v>196</v>
      </c>
      <c r="Q179" s="5" t="s">
        <v>55</v>
      </c>
      <c r="R179" s="5" t="s">
        <v>129</v>
      </c>
      <c r="S179" s="7" t="s">
        <v>2045</v>
      </c>
    </row>
    <row r="180" spans="1:19" x14ac:dyDescent="0.35">
      <c r="A180" s="6">
        <v>8613927</v>
      </c>
      <c r="B180" s="5" t="s">
        <v>281</v>
      </c>
      <c r="C180" s="5" t="s">
        <v>156</v>
      </c>
      <c r="D180" s="5" t="s">
        <v>155</v>
      </c>
      <c r="E180" s="5" t="s">
        <v>140</v>
      </c>
      <c r="F180" s="5" t="s">
        <v>2042</v>
      </c>
      <c r="G180" s="5">
        <v>489</v>
      </c>
      <c r="H180" s="5">
        <v>999</v>
      </c>
      <c r="I180" s="5" t="s">
        <v>279</v>
      </c>
      <c r="J180" s="5" t="s">
        <v>212</v>
      </c>
      <c r="K180" s="5">
        <v>4</v>
      </c>
      <c r="L180" s="5">
        <v>964</v>
      </c>
      <c r="M180" s="5">
        <v>0.51</v>
      </c>
      <c r="N180" s="5">
        <v>691.83976143141149</v>
      </c>
      <c r="O180" s="5">
        <v>489</v>
      </c>
      <c r="P180" s="5" t="s">
        <v>212</v>
      </c>
      <c r="Q180" s="5" t="s">
        <v>55</v>
      </c>
      <c r="R180" s="5" t="s">
        <v>129</v>
      </c>
      <c r="S180" s="7" t="s">
        <v>2043</v>
      </c>
    </row>
    <row r="181" spans="1:19" x14ac:dyDescent="0.35">
      <c r="A181" s="6">
        <v>10416940</v>
      </c>
      <c r="B181" s="5" t="s">
        <v>460</v>
      </c>
      <c r="C181" s="5" t="s">
        <v>135</v>
      </c>
      <c r="D181" s="5" t="s">
        <v>168</v>
      </c>
      <c r="E181" s="5" t="s">
        <v>133</v>
      </c>
      <c r="F181" s="5" t="s">
        <v>2040</v>
      </c>
      <c r="G181" s="5">
        <v>879</v>
      </c>
      <c r="H181" s="5">
        <v>2199</v>
      </c>
      <c r="I181" s="5" t="s">
        <v>223</v>
      </c>
      <c r="J181" s="5" t="s">
        <v>196</v>
      </c>
      <c r="K181" s="5">
        <v>4.2</v>
      </c>
      <c r="L181" s="5">
        <v>964</v>
      </c>
      <c r="M181" s="5">
        <v>0.6</v>
      </c>
      <c r="N181" s="5">
        <v>1493.337491012077</v>
      </c>
      <c r="O181" s="5">
        <v>879</v>
      </c>
      <c r="P181" s="5" t="s">
        <v>196</v>
      </c>
      <c r="Q181" s="5" t="s">
        <v>55</v>
      </c>
      <c r="R181" s="5" t="s">
        <v>129</v>
      </c>
      <c r="S181" s="7" t="s">
        <v>2041</v>
      </c>
    </row>
    <row r="182" spans="1:19" x14ac:dyDescent="0.35">
      <c r="A182" s="6">
        <v>8475729</v>
      </c>
      <c r="B182" s="5" t="s">
        <v>152</v>
      </c>
      <c r="C182" s="5" t="s">
        <v>273</v>
      </c>
      <c r="D182" s="5" t="s">
        <v>272</v>
      </c>
      <c r="E182" s="5" t="s">
        <v>133</v>
      </c>
      <c r="F182" s="5" t="s">
        <v>2038</v>
      </c>
      <c r="G182" s="5"/>
      <c r="H182" s="5">
        <v>1499</v>
      </c>
      <c r="I182" s="5"/>
      <c r="J182" s="5" t="s">
        <v>212</v>
      </c>
      <c r="K182" s="5">
        <v>3.9</v>
      </c>
      <c r="L182" s="5">
        <v>964</v>
      </c>
      <c r="M182" s="5"/>
      <c r="N182" s="5">
        <v>811.90284167198604</v>
      </c>
      <c r="O182" s="5">
        <v>811.90284167198604</v>
      </c>
      <c r="P182" s="5" t="s">
        <v>212</v>
      </c>
      <c r="Q182" s="5" t="s">
        <v>57</v>
      </c>
      <c r="R182" s="5" t="s">
        <v>129</v>
      </c>
      <c r="S182" s="7" t="s">
        <v>2039</v>
      </c>
    </row>
    <row r="183" spans="1:19" x14ac:dyDescent="0.35">
      <c r="A183" s="6">
        <v>9697407</v>
      </c>
      <c r="B183" s="5" t="s">
        <v>250</v>
      </c>
      <c r="C183" s="5" t="s">
        <v>163</v>
      </c>
      <c r="D183" s="5" t="s">
        <v>77</v>
      </c>
      <c r="E183" s="5" t="s">
        <v>133</v>
      </c>
      <c r="F183" s="5" t="s">
        <v>2036</v>
      </c>
      <c r="G183" s="5"/>
      <c r="H183" s="5">
        <v>599</v>
      </c>
      <c r="I183" s="5" t="s">
        <v>178</v>
      </c>
      <c r="J183" s="5" t="s">
        <v>192</v>
      </c>
      <c r="K183" s="5">
        <v>4.3</v>
      </c>
      <c r="L183" s="5">
        <v>964</v>
      </c>
      <c r="M183" s="5">
        <v>0.55000000000000004</v>
      </c>
      <c r="N183" s="5">
        <v>1790.0851063829789</v>
      </c>
      <c r="O183" s="5"/>
      <c r="P183" s="5" t="s">
        <v>192</v>
      </c>
      <c r="Q183" s="5" t="s">
        <v>55</v>
      </c>
      <c r="R183" s="5" t="s">
        <v>129</v>
      </c>
      <c r="S183" s="7" t="s">
        <v>2037</v>
      </c>
    </row>
    <row r="184" spans="1:19" x14ac:dyDescent="0.35">
      <c r="A184" s="6">
        <v>10968574</v>
      </c>
      <c r="B184" s="5" t="s">
        <v>250</v>
      </c>
      <c r="C184" s="5" t="s">
        <v>163</v>
      </c>
      <c r="D184" s="5" t="s">
        <v>77</v>
      </c>
      <c r="E184" s="5" t="s">
        <v>133</v>
      </c>
      <c r="F184" s="5" t="s">
        <v>2034</v>
      </c>
      <c r="G184" s="5"/>
      <c r="H184" s="5">
        <v>999</v>
      </c>
      <c r="I184" s="5" t="s">
        <v>1169</v>
      </c>
      <c r="J184" s="5" t="s">
        <v>192</v>
      </c>
      <c r="K184" s="5">
        <v>4.2</v>
      </c>
      <c r="L184" s="5">
        <v>964</v>
      </c>
      <c r="M184" s="5">
        <v>5</v>
      </c>
      <c r="N184" s="5">
        <v>1790.0851063829789</v>
      </c>
      <c r="O184" s="5"/>
      <c r="P184" s="5" t="s">
        <v>192</v>
      </c>
      <c r="Q184" s="5" t="s">
        <v>55</v>
      </c>
      <c r="R184" s="5" t="s">
        <v>129</v>
      </c>
      <c r="S184" s="7" t="s">
        <v>2035</v>
      </c>
    </row>
    <row r="185" spans="1:19" x14ac:dyDescent="0.35">
      <c r="A185" s="6">
        <v>5125964</v>
      </c>
      <c r="B185" s="5" t="s">
        <v>190</v>
      </c>
      <c r="C185" s="5" t="s">
        <v>189</v>
      </c>
      <c r="D185" s="5" t="s">
        <v>188</v>
      </c>
      <c r="E185" s="5" t="s">
        <v>140</v>
      </c>
      <c r="F185" s="5" t="s">
        <v>2032</v>
      </c>
      <c r="G185" s="5">
        <v>643</v>
      </c>
      <c r="H185" s="5">
        <v>1649</v>
      </c>
      <c r="I185" s="5" t="s">
        <v>186</v>
      </c>
      <c r="J185" s="5" t="s">
        <v>185</v>
      </c>
      <c r="K185" s="5">
        <v>4.2</v>
      </c>
      <c r="L185" s="5">
        <v>963</v>
      </c>
      <c r="M185" s="5">
        <v>0.61</v>
      </c>
      <c r="N185" s="5">
        <v>1351.2078667815099</v>
      </c>
      <c r="O185" s="5">
        <v>643</v>
      </c>
      <c r="P185" s="5" t="s">
        <v>185</v>
      </c>
      <c r="Q185" s="5" t="s">
        <v>55</v>
      </c>
      <c r="R185" s="5" t="s">
        <v>129</v>
      </c>
      <c r="S185" s="7" t="s">
        <v>2033</v>
      </c>
    </row>
    <row r="186" spans="1:19" x14ac:dyDescent="0.35">
      <c r="A186" s="6">
        <v>9791977</v>
      </c>
      <c r="B186" s="5" t="s">
        <v>2030</v>
      </c>
      <c r="C186" s="5" t="s">
        <v>135</v>
      </c>
      <c r="D186" s="5" t="s">
        <v>1412</v>
      </c>
      <c r="E186" s="5" t="s">
        <v>133</v>
      </c>
      <c r="F186" s="5" t="s">
        <v>2029</v>
      </c>
      <c r="G186" s="5">
        <v>729</v>
      </c>
      <c r="H186" s="5">
        <v>999</v>
      </c>
      <c r="I186" s="5" t="s">
        <v>1264</v>
      </c>
      <c r="J186" s="5" t="s">
        <v>624</v>
      </c>
      <c r="K186" s="5">
        <v>4.0999999999999996</v>
      </c>
      <c r="L186" s="5">
        <v>963</v>
      </c>
      <c r="M186" s="5">
        <v>0.27</v>
      </c>
      <c r="N186" s="5">
        <v>1493.337491012077</v>
      </c>
      <c r="O186" s="5">
        <v>729</v>
      </c>
      <c r="P186" s="5" t="s">
        <v>624</v>
      </c>
      <c r="Q186" s="5" t="s">
        <v>57</v>
      </c>
      <c r="R186" s="5" t="s">
        <v>129</v>
      </c>
      <c r="S186" s="7" t="s">
        <v>2031</v>
      </c>
    </row>
    <row r="187" spans="1:19" x14ac:dyDescent="0.35">
      <c r="A187" s="6">
        <v>2325411</v>
      </c>
      <c r="B187" s="5" t="s">
        <v>339</v>
      </c>
      <c r="C187" s="5" t="s">
        <v>163</v>
      </c>
      <c r="D187" s="5" t="s">
        <v>162</v>
      </c>
      <c r="E187" s="5" t="s">
        <v>133</v>
      </c>
      <c r="F187" s="5" t="s">
        <v>2027</v>
      </c>
      <c r="G187" s="5"/>
      <c r="H187" s="5">
        <v>1899</v>
      </c>
      <c r="I187" s="5" t="s">
        <v>178</v>
      </c>
      <c r="J187" s="5" t="s">
        <v>222</v>
      </c>
      <c r="K187" s="5">
        <v>3.6</v>
      </c>
      <c r="L187" s="5">
        <v>963</v>
      </c>
      <c r="M187" s="5">
        <v>0.55000000000000004</v>
      </c>
      <c r="N187" s="5">
        <v>1790.0851063829789</v>
      </c>
      <c r="O187" s="5"/>
      <c r="P187" s="5" t="s">
        <v>222</v>
      </c>
      <c r="Q187" s="5" t="s">
        <v>55</v>
      </c>
      <c r="R187" s="5" t="s">
        <v>129</v>
      </c>
      <c r="S187" s="7" t="s">
        <v>2028</v>
      </c>
    </row>
    <row r="188" spans="1:19" x14ac:dyDescent="0.35">
      <c r="A188" s="6">
        <v>12222138</v>
      </c>
      <c r="B188" s="5" t="s">
        <v>472</v>
      </c>
      <c r="C188" s="5" t="s">
        <v>163</v>
      </c>
      <c r="D188" s="5" t="s">
        <v>188</v>
      </c>
      <c r="E188" s="5" t="s">
        <v>133</v>
      </c>
      <c r="F188" s="5" t="s">
        <v>2025</v>
      </c>
      <c r="G188" s="5"/>
      <c r="H188" s="5">
        <v>1999</v>
      </c>
      <c r="I188" s="5" t="s">
        <v>186</v>
      </c>
      <c r="J188" s="5" t="s">
        <v>222</v>
      </c>
      <c r="K188" s="5">
        <v>3.9</v>
      </c>
      <c r="L188" s="5">
        <v>963</v>
      </c>
      <c r="M188" s="5">
        <v>0.61</v>
      </c>
      <c r="N188" s="5">
        <v>1790.0851063829789</v>
      </c>
      <c r="O188" s="5"/>
      <c r="P188" s="5" t="s">
        <v>222</v>
      </c>
      <c r="Q188" s="5" t="s">
        <v>55</v>
      </c>
      <c r="R188" s="5" t="s">
        <v>129</v>
      </c>
      <c r="S188" s="7" t="s">
        <v>2026</v>
      </c>
    </row>
    <row r="189" spans="1:19" x14ac:dyDescent="0.35">
      <c r="A189" s="6">
        <v>13452040</v>
      </c>
      <c r="B189" s="5" t="s">
        <v>2023</v>
      </c>
      <c r="C189" s="5" t="s">
        <v>135</v>
      </c>
      <c r="D189" s="5" t="s">
        <v>168</v>
      </c>
      <c r="E189" s="5" t="s">
        <v>133</v>
      </c>
      <c r="F189" s="5" t="s">
        <v>2022</v>
      </c>
      <c r="G189" s="5">
        <v>824</v>
      </c>
      <c r="H189" s="5">
        <v>2499</v>
      </c>
      <c r="I189" s="5" t="s">
        <v>146</v>
      </c>
      <c r="J189" s="5" t="s">
        <v>150</v>
      </c>
      <c r="K189" s="5">
        <v>3.7</v>
      </c>
      <c r="L189" s="5">
        <v>962</v>
      </c>
      <c r="M189" s="5">
        <v>0.67</v>
      </c>
      <c r="N189" s="5">
        <v>1493.337491012077</v>
      </c>
      <c r="O189" s="5">
        <v>824</v>
      </c>
      <c r="P189" s="5" t="s">
        <v>150</v>
      </c>
      <c r="Q189" s="5" t="s">
        <v>55</v>
      </c>
      <c r="R189" s="5" t="s">
        <v>129</v>
      </c>
      <c r="S189" s="7" t="s">
        <v>2024</v>
      </c>
    </row>
    <row r="190" spans="1:19" x14ac:dyDescent="0.35">
      <c r="A190" s="6">
        <v>13901198</v>
      </c>
      <c r="B190" s="5" t="s">
        <v>175</v>
      </c>
      <c r="C190" s="5" t="s">
        <v>135</v>
      </c>
      <c r="D190" s="5" t="s">
        <v>174</v>
      </c>
      <c r="E190" s="5" t="s">
        <v>133</v>
      </c>
      <c r="F190" s="5" t="s">
        <v>2020</v>
      </c>
      <c r="G190" s="5">
        <v>1294</v>
      </c>
      <c r="H190" s="5">
        <v>3699</v>
      </c>
      <c r="I190" s="5" t="s">
        <v>197</v>
      </c>
      <c r="J190" s="5" t="s">
        <v>171</v>
      </c>
      <c r="K190" s="5">
        <v>4.2</v>
      </c>
      <c r="L190" s="5">
        <v>962</v>
      </c>
      <c r="M190" s="5">
        <v>0.65</v>
      </c>
      <c r="N190" s="5">
        <v>1493.337491012077</v>
      </c>
      <c r="O190" s="5">
        <v>1294</v>
      </c>
      <c r="P190" s="5" t="s">
        <v>171</v>
      </c>
      <c r="Q190" s="5" t="s">
        <v>55</v>
      </c>
      <c r="R190" s="5" t="s">
        <v>129</v>
      </c>
      <c r="S190" s="7" t="s">
        <v>2021</v>
      </c>
    </row>
    <row r="191" spans="1:19" x14ac:dyDescent="0.35">
      <c r="A191" s="6">
        <v>10939766</v>
      </c>
      <c r="B191" s="5" t="s">
        <v>200</v>
      </c>
      <c r="C191" s="5" t="s">
        <v>273</v>
      </c>
      <c r="D191" s="5" t="s">
        <v>272</v>
      </c>
      <c r="E191" s="5" t="s">
        <v>133</v>
      </c>
      <c r="F191" s="5" t="s">
        <v>2018</v>
      </c>
      <c r="G191" s="5">
        <v>244</v>
      </c>
      <c r="H191" s="5">
        <v>699</v>
      </c>
      <c r="I191" s="5" t="s">
        <v>197</v>
      </c>
      <c r="J191" s="5" t="s">
        <v>553</v>
      </c>
      <c r="K191" s="5">
        <v>4.2</v>
      </c>
      <c r="L191" s="5">
        <v>962</v>
      </c>
      <c r="M191" s="5">
        <v>0.65</v>
      </c>
      <c r="N191" s="5">
        <v>811.90284167198604</v>
      </c>
      <c r="O191" s="5">
        <v>244</v>
      </c>
      <c r="P191" s="5" t="s">
        <v>553</v>
      </c>
      <c r="Q191" s="5" t="s">
        <v>55</v>
      </c>
      <c r="R191" s="5" t="s">
        <v>129</v>
      </c>
      <c r="S191" s="7" t="s">
        <v>2019</v>
      </c>
    </row>
    <row r="192" spans="1:19" x14ac:dyDescent="0.35">
      <c r="A192" s="6">
        <v>7739835</v>
      </c>
      <c r="B192" s="5" t="s">
        <v>2016</v>
      </c>
      <c r="C192" s="5" t="s">
        <v>273</v>
      </c>
      <c r="D192" s="5" t="s">
        <v>2015</v>
      </c>
      <c r="E192" s="5" t="s">
        <v>133</v>
      </c>
      <c r="F192" s="5" t="s">
        <v>2014</v>
      </c>
      <c r="G192" s="5">
        <v>447</v>
      </c>
      <c r="H192" s="5">
        <v>699</v>
      </c>
      <c r="I192" s="5" t="s">
        <v>2013</v>
      </c>
      <c r="J192" s="5" t="s">
        <v>171</v>
      </c>
      <c r="K192" s="5">
        <v>4.2</v>
      </c>
      <c r="L192" s="5">
        <v>962</v>
      </c>
      <c r="M192" s="5">
        <v>0.36</v>
      </c>
      <c r="N192" s="5">
        <v>811.90284167198604</v>
      </c>
      <c r="O192" s="5">
        <v>447</v>
      </c>
      <c r="P192" s="5" t="s">
        <v>171</v>
      </c>
      <c r="Q192" s="5" t="s">
        <v>57</v>
      </c>
      <c r="R192" s="5" t="s">
        <v>129</v>
      </c>
      <c r="S192" s="7" t="s">
        <v>2017</v>
      </c>
    </row>
    <row r="193" spans="1:19" x14ac:dyDescent="0.35">
      <c r="A193" s="6">
        <v>10374655</v>
      </c>
      <c r="B193" s="5" t="s">
        <v>522</v>
      </c>
      <c r="C193" s="5" t="s">
        <v>163</v>
      </c>
      <c r="D193" s="5" t="s">
        <v>194</v>
      </c>
      <c r="E193" s="5" t="s">
        <v>133</v>
      </c>
      <c r="F193" s="5" t="s">
        <v>2011</v>
      </c>
      <c r="G193" s="5"/>
      <c r="H193" s="5">
        <v>1299</v>
      </c>
      <c r="I193" s="5" t="s">
        <v>218</v>
      </c>
      <c r="J193" s="5" t="s">
        <v>150</v>
      </c>
      <c r="K193" s="5">
        <v>4.0999999999999996</v>
      </c>
      <c r="L193" s="5">
        <v>962</v>
      </c>
      <c r="M193" s="5">
        <v>0.3</v>
      </c>
      <c r="N193" s="5">
        <v>1790.0851063829789</v>
      </c>
      <c r="O193" s="5"/>
      <c r="P193" s="5" t="s">
        <v>150</v>
      </c>
      <c r="Q193" s="5" t="s">
        <v>57</v>
      </c>
      <c r="R193" s="5" t="s">
        <v>129</v>
      </c>
      <c r="S193" s="7" t="s">
        <v>2012</v>
      </c>
    </row>
    <row r="194" spans="1:19" x14ac:dyDescent="0.35">
      <c r="A194" s="6">
        <v>11425620</v>
      </c>
      <c r="B194" s="5" t="s">
        <v>2009</v>
      </c>
      <c r="C194" s="5" t="s">
        <v>163</v>
      </c>
      <c r="D194" s="5" t="s">
        <v>228</v>
      </c>
      <c r="E194" s="5" t="s">
        <v>133</v>
      </c>
      <c r="F194" s="5" t="s">
        <v>2008</v>
      </c>
      <c r="G194" s="5"/>
      <c r="H194" s="5">
        <v>2999</v>
      </c>
      <c r="I194" s="5" t="s">
        <v>131</v>
      </c>
      <c r="J194" s="5" t="s">
        <v>196</v>
      </c>
      <c r="K194" s="5">
        <v>4.3</v>
      </c>
      <c r="L194" s="5">
        <v>962</v>
      </c>
      <c r="M194" s="5">
        <v>0.4</v>
      </c>
      <c r="N194" s="5">
        <v>1790.0851063829789</v>
      </c>
      <c r="O194" s="5"/>
      <c r="P194" s="5" t="s">
        <v>196</v>
      </c>
      <c r="Q194" s="5" t="s">
        <v>57</v>
      </c>
      <c r="R194" s="5" t="s">
        <v>129</v>
      </c>
      <c r="S194" s="7" t="s">
        <v>2010</v>
      </c>
    </row>
    <row r="195" spans="1:19" x14ac:dyDescent="0.35">
      <c r="A195" s="6">
        <v>2133029</v>
      </c>
      <c r="B195" s="5" t="s">
        <v>143</v>
      </c>
      <c r="C195" s="5" t="s">
        <v>189</v>
      </c>
      <c r="D195" s="5" t="s">
        <v>162</v>
      </c>
      <c r="E195" s="5" t="s">
        <v>140</v>
      </c>
      <c r="F195" s="5" t="s">
        <v>2006</v>
      </c>
      <c r="G195" s="5">
        <v>1034</v>
      </c>
      <c r="H195" s="5">
        <v>2299</v>
      </c>
      <c r="I195" s="5" t="s">
        <v>178</v>
      </c>
      <c r="J195" s="5" t="s">
        <v>408</v>
      </c>
      <c r="K195" s="5">
        <v>3.7</v>
      </c>
      <c r="L195" s="5">
        <v>961</v>
      </c>
      <c r="M195" s="5">
        <v>0.55000000000000004</v>
      </c>
      <c r="N195" s="5">
        <v>1351.2078667815099</v>
      </c>
      <c r="O195" s="5">
        <v>1034</v>
      </c>
      <c r="P195" s="5" t="s">
        <v>408</v>
      </c>
      <c r="Q195" s="5" t="s">
        <v>55</v>
      </c>
      <c r="R195" s="5" t="s">
        <v>129</v>
      </c>
      <c r="S195" s="7" t="s">
        <v>2007</v>
      </c>
    </row>
    <row r="196" spans="1:19" x14ac:dyDescent="0.35">
      <c r="A196" s="6">
        <v>13676446</v>
      </c>
      <c r="B196" s="5" t="s">
        <v>157</v>
      </c>
      <c r="C196" s="5" t="s">
        <v>156</v>
      </c>
      <c r="D196" s="5" t="s">
        <v>155</v>
      </c>
      <c r="E196" s="5" t="s">
        <v>140</v>
      </c>
      <c r="F196" s="5" t="s">
        <v>154</v>
      </c>
      <c r="G196" s="5">
        <v>988</v>
      </c>
      <c r="H196" s="5">
        <v>1798</v>
      </c>
      <c r="I196" s="5" t="s">
        <v>36</v>
      </c>
      <c r="J196" s="5" t="s">
        <v>150</v>
      </c>
      <c r="K196" s="5">
        <v>4.0999999999999996</v>
      </c>
      <c r="L196" s="5">
        <v>961</v>
      </c>
      <c r="M196" s="5">
        <v>0.45</v>
      </c>
      <c r="N196" s="5">
        <v>691.83976143141149</v>
      </c>
      <c r="O196" s="5">
        <v>988</v>
      </c>
      <c r="P196" s="5" t="s">
        <v>150</v>
      </c>
      <c r="Q196" s="5" t="s">
        <v>57</v>
      </c>
      <c r="R196" s="5" t="s">
        <v>129</v>
      </c>
      <c r="S196" s="7" t="s">
        <v>2005</v>
      </c>
    </row>
    <row r="197" spans="1:19" x14ac:dyDescent="0.35">
      <c r="A197" s="6">
        <v>6833068</v>
      </c>
      <c r="B197" s="5" t="s">
        <v>183</v>
      </c>
      <c r="C197" s="5" t="s">
        <v>142</v>
      </c>
      <c r="D197" s="5" t="s">
        <v>77</v>
      </c>
      <c r="E197" s="5" t="s">
        <v>140</v>
      </c>
      <c r="F197" s="5" t="s">
        <v>2003</v>
      </c>
      <c r="G197" s="5">
        <v>959</v>
      </c>
      <c r="H197" s="5">
        <v>1599</v>
      </c>
      <c r="I197" s="5" t="s">
        <v>131</v>
      </c>
      <c r="J197" s="5" t="s">
        <v>150</v>
      </c>
      <c r="K197" s="5">
        <v>4.0999999999999996</v>
      </c>
      <c r="L197" s="5">
        <v>961</v>
      </c>
      <c r="M197" s="5">
        <v>0.4</v>
      </c>
      <c r="N197" s="5">
        <v>1138.6340612208289</v>
      </c>
      <c r="O197" s="5">
        <v>959</v>
      </c>
      <c r="P197" s="5" t="s">
        <v>150</v>
      </c>
      <c r="Q197" s="5" t="s">
        <v>57</v>
      </c>
      <c r="R197" s="5" t="s">
        <v>129</v>
      </c>
      <c r="S197" s="7" t="s">
        <v>2004</v>
      </c>
    </row>
    <row r="198" spans="1:19" x14ac:dyDescent="0.35">
      <c r="A198" s="6">
        <v>10574802</v>
      </c>
      <c r="B198" s="5" t="s">
        <v>250</v>
      </c>
      <c r="C198" s="5" t="s">
        <v>142</v>
      </c>
      <c r="D198" s="5" t="s">
        <v>77</v>
      </c>
      <c r="E198" s="5" t="s">
        <v>140</v>
      </c>
      <c r="F198" s="5" t="s">
        <v>2001</v>
      </c>
      <c r="G198" s="5">
        <v>449</v>
      </c>
      <c r="H198" s="5">
        <v>899</v>
      </c>
      <c r="I198" s="5" t="s">
        <v>209</v>
      </c>
      <c r="J198" s="5" t="s">
        <v>192</v>
      </c>
      <c r="K198" s="5">
        <v>4.0999999999999996</v>
      </c>
      <c r="L198" s="5">
        <v>961</v>
      </c>
      <c r="M198" s="5">
        <v>0.5</v>
      </c>
      <c r="N198" s="5">
        <v>1138.6340612208289</v>
      </c>
      <c r="O198" s="5">
        <v>449</v>
      </c>
      <c r="P198" s="5" t="s">
        <v>192</v>
      </c>
      <c r="Q198" s="5" t="s">
        <v>57</v>
      </c>
      <c r="R198" s="5" t="s">
        <v>129</v>
      </c>
      <c r="S198" s="7" t="s">
        <v>2002</v>
      </c>
    </row>
    <row r="199" spans="1:19" x14ac:dyDescent="0.35">
      <c r="A199" s="6">
        <v>13152598</v>
      </c>
      <c r="B199" s="5" t="s">
        <v>1999</v>
      </c>
      <c r="C199" s="5" t="s">
        <v>273</v>
      </c>
      <c r="D199" s="5" t="s">
        <v>373</v>
      </c>
      <c r="E199" s="5" t="s">
        <v>133</v>
      </c>
      <c r="F199" s="5" t="s">
        <v>1998</v>
      </c>
      <c r="G199" s="5">
        <v>959</v>
      </c>
      <c r="H199" s="5">
        <v>1599</v>
      </c>
      <c r="I199" s="5" t="s">
        <v>131</v>
      </c>
      <c r="J199" s="5" t="s">
        <v>150</v>
      </c>
      <c r="K199" s="5">
        <v>4.5</v>
      </c>
      <c r="L199" s="5">
        <v>961</v>
      </c>
      <c r="M199" s="5">
        <v>0.4</v>
      </c>
      <c r="N199" s="5">
        <v>811.90284167198604</v>
      </c>
      <c r="O199" s="5">
        <v>959</v>
      </c>
      <c r="P199" s="5" t="s">
        <v>150</v>
      </c>
      <c r="Q199" s="5" t="s">
        <v>57</v>
      </c>
      <c r="R199" s="5" t="s">
        <v>129</v>
      </c>
      <c r="S199" s="7" t="s">
        <v>2000</v>
      </c>
    </row>
    <row r="200" spans="1:19" x14ac:dyDescent="0.35">
      <c r="A200" s="6">
        <v>1382567</v>
      </c>
      <c r="B200" s="5" t="s">
        <v>261</v>
      </c>
      <c r="C200" s="5" t="s">
        <v>163</v>
      </c>
      <c r="D200" s="5" t="s">
        <v>141</v>
      </c>
      <c r="E200" s="5" t="s">
        <v>133</v>
      </c>
      <c r="F200" s="5" t="s">
        <v>1996</v>
      </c>
      <c r="G200" s="5"/>
      <c r="H200" s="5">
        <v>1599</v>
      </c>
      <c r="I200" s="5" t="s">
        <v>319</v>
      </c>
      <c r="J200" s="5" t="s">
        <v>192</v>
      </c>
      <c r="K200" s="5">
        <v>4.2</v>
      </c>
      <c r="L200" s="5">
        <v>961</v>
      </c>
      <c r="M200" s="5">
        <v>0.57999999999999996</v>
      </c>
      <c r="N200" s="5">
        <v>1790.0851063829789</v>
      </c>
      <c r="O200" s="5"/>
      <c r="P200" s="5" t="s">
        <v>192</v>
      </c>
      <c r="Q200" s="5" t="s">
        <v>55</v>
      </c>
      <c r="R200" s="5" t="s">
        <v>129</v>
      </c>
      <c r="S200" s="7" t="s">
        <v>1997</v>
      </c>
    </row>
    <row r="201" spans="1:19" x14ac:dyDescent="0.35">
      <c r="A201" s="6">
        <v>8325391</v>
      </c>
      <c r="B201" s="5" t="s">
        <v>225</v>
      </c>
      <c r="C201" s="5" t="s">
        <v>163</v>
      </c>
      <c r="D201" s="5" t="s">
        <v>77</v>
      </c>
      <c r="E201" s="5" t="s">
        <v>133</v>
      </c>
      <c r="F201" s="5" t="s">
        <v>1994</v>
      </c>
      <c r="G201" s="5"/>
      <c r="H201" s="5">
        <v>899</v>
      </c>
      <c r="I201" s="5" t="s">
        <v>486</v>
      </c>
      <c r="J201" s="5" t="s">
        <v>192</v>
      </c>
      <c r="K201" s="5">
        <v>4.3</v>
      </c>
      <c r="L201" s="5">
        <v>961</v>
      </c>
      <c r="M201" s="5">
        <v>4</v>
      </c>
      <c r="N201" s="5">
        <v>1790.0851063829789</v>
      </c>
      <c r="O201" s="5"/>
      <c r="P201" s="5" t="s">
        <v>192</v>
      </c>
      <c r="Q201" s="5" t="s">
        <v>55</v>
      </c>
      <c r="R201" s="5" t="s">
        <v>129</v>
      </c>
      <c r="S201" s="7" t="s">
        <v>1995</v>
      </c>
    </row>
    <row r="202" spans="1:19" x14ac:dyDescent="0.35">
      <c r="A202" s="6">
        <v>10967486</v>
      </c>
      <c r="B202" s="5" t="s">
        <v>250</v>
      </c>
      <c r="C202" s="5" t="s">
        <v>163</v>
      </c>
      <c r="D202" s="5" t="s">
        <v>385</v>
      </c>
      <c r="E202" s="5" t="s">
        <v>133</v>
      </c>
      <c r="F202" s="5" t="s">
        <v>1992</v>
      </c>
      <c r="G202" s="5"/>
      <c r="H202" s="5">
        <v>1499</v>
      </c>
      <c r="I202" s="5" t="s">
        <v>209</v>
      </c>
      <c r="J202" s="5" t="s">
        <v>222</v>
      </c>
      <c r="K202" s="5">
        <v>4.0999999999999996</v>
      </c>
      <c r="L202" s="5">
        <v>960</v>
      </c>
      <c r="M202" s="5">
        <v>0.5</v>
      </c>
      <c r="N202" s="5">
        <v>1790.0851063829789</v>
      </c>
      <c r="O202" s="5"/>
      <c r="P202" s="5" t="s">
        <v>222</v>
      </c>
      <c r="Q202" s="5" t="s">
        <v>57</v>
      </c>
      <c r="R202" s="5" t="s">
        <v>129</v>
      </c>
      <c r="S202" s="7" t="s">
        <v>1993</v>
      </c>
    </row>
    <row r="203" spans="1:19" x14ac:dyDescent="0.35">
      <c r="A203" s="6">
        <v>9838337</v>
      </c>
      <c r="B203" s="5" t="s">
        <v>148</v>
      </c>
      <c r="C203" s="5" t="s">
        <v>189</v>
      </c>
      <c r="D203" s="5" t="s">
        <v>162</v>
      </c>
      <c r="E203" s="5" t="s">
        <v>140</v>
      </c>
      <c r="F203" s="5" t="s">
        <v>1990</v>
      </c>
      <c r="G203" s="5">
        <v>874</v>
      </c>
      <c r="H203" s="5">
        <v>2499</v>
      </c>
      <c r="I203" s="5" t="s">
        <v>197</v>
      </c>
      <c r="J203" s="5" t="s">
        <v>185</v>
      </c>
      <c r="K203" s="5">
        <v>3.7</v>
      </c>
      <c r="L203" s="5">
        <v>959</v>
      </c>
      <c r="M203" s="5">
        <v>0.65</v>
      </c>
      <c r="N203" s="5">
        <v>1351.2078667815099</v>
      </c>
      <c r="O203" s="5">
        <v>874</v>
      </c>
      <c r="P203" s="5" t="s">
        <v>185</v>
      </c>
      <c r="Q203" s="5" t="s">
        <v>55</v>
      </c>
      <c r="R203" s="5" t="s">
        <v>129</v>
      </c>
      <c r="S203" s="7" t="s">
        <v>1991</v>
      </c>
    </row>
    <row r="204" spans="1:19" x14ac:dyDescent="0.35">
      <c r="A204" s="6">
        <v>10064539</v>
      </c>
      <c r="B204" s="5" t="s">
        <v>250</v>
      </c>
      <c r="C204" s="5" t="s">
        <v>189</v>
      </c>
      <c r="D204" s="5" t="s">
        <v>162</v>
      </c>
      <c r="E204" s="5" t="s">
        <v>140</v>
      </c>
      <c r="F204" s="5" t="s">
        <v>1988</v>
      </c>
      <c r="G204" s="5">
        <v>899</v>
      </c>
      <c r="H204" s="5">
        <v>1999</v>
      </c>
      <c r="I204" s="5" t="s">
        <v>178</v>
      </c>
      <c r="J204" s="5" t="s">
        <v>408</v>
      </c>
      <c r="K204" s="5">
        <v>3.8</v>
      </c>
      <c r="L204" s="5">
        <v>959</v>
      </c>
      <c r="M204" s="5">
        <v>0.55000000000000004</v>
      </c>
      <c r="N204" s="5">
        <v>1351.2078667815099</v>
      </c>
      <c r="O204" s="5">
        <v>899</v>
      </c>
      <c r="P204" s="5" t="s">
        <v>408</v>
      </c>
      <c r="Q204" s="5" t="s">
        <v>55</v>
      </c>
      <c r="R204" s="5" t="s">
        <v>129</v>
      </c>
      <c r="S204" s="7" t="s">
        <v>1989</v>
      </c>
    </row>
    <row r="205" spans="1:19" x14ac:dyDescent="0.35">
      <c r="A205" s="6">
        <v>11361424</v>
      </c>
      <c r="B205" s="5" t="s">
        <v>183</v>
      </c>
      <c r="C205" s="5" t="s">
        <v>142</v>
      </c>
      <c r="D205" s="5" t="s">
        <v>141</v>
      </c>
      <c r="E205" s="5" t="s">
        <v>140</v>
      </c>
      <c r="F205" s="5" t="s">
        <v>1986</v>
      </c>
      <c r="G205" s="5">
        <v>1319</v>
      </c>
      <c r="H205" s="5">
        <v>2399</v>
      </c>
      <c r="I205" s="5" t="s">
        <v>36</v>
      </c>
      <c r="J205" s="5" t="s">
        <v>208</v>
      </c>
      <c r="K205" s="5">
        <v>4.3</v>
      </c>
      <c r="L205" s="5">
        <v>959</v>
      </c>
      <c r="M205" s="5">
        <v>0.45</v>
      </c>
      <c r="N205" s="5">
        <v>1138.6340612208289</v>
      </c>
      <c r="O205" s="5">
        <v>1319</v>
      </c>
      <c r="P205" s="5" t="s">
        <v>208</v>
      </c>
      <c r="Q205" s="5" t="s">
        <v>57</v>
      </c>
      <c r="R205" s="5" t="s">
        <v>129</v>
      </c>
      <c r="S205" s="7" t="s">
        <v>1987</v>
      </c>
    </row>
    <row r="206" spans="1:19" x14ac:dyDescent="0.35">
      <c r="A206" s="6">
        <v>11897388</v>
      </c>
      <c r="B206" s="5" t="s">
        <v>169</v>
      </c>
      <c r="C206" s="5" t="s">
        <v>135</v>
      </c>
      <c r="D206" s="5" t="s">
        <v>168</v>
      </c>
      <c r="E206" s="5" t="s">
        <v>133</v>
      </c>
      <c r="F206" s="5" t="s">
        <v>1984</v>
      </c>
      <c r="G206" s="5">
        <v>649</v>
      </c>
      <c r="H206" s="5">
        <v>3249</v>
      </c>
      <c r="I206" s="5" t="s">
        <v>1542</v>
      </c>
      <c r="J206" s="5" t="s">
        <v>150</v>
      </c>
      <c r="K206" s="5">
        <v>4.2</v>
      </c>
      <c r="L206" s="5">
        <v>959</v>
      </c>
      <c r="M206" s="5">
        <v>0.8</v>
      </c>
      <c r="N206" s="5">
        <v>1493.337491012077</v>
      </c>
      <c r="O206" s="5">
        <v>649</v>
      </c>
      <c r="P206" s="5" t="s">
        <v>150</v>
      </c>
      <c r="Q206" s="5" t="s">
        <v>55</v>
      </c>
      <c r="R206" s="5" t="s">
        <v>129</v>
      </c>
      <c r="S206" s="7" t="s">
        <v>1985</v>
      </c>
    </row>
    <row r="207" spans="1:19" x14ac:dyDescent="0.35">
      <c r="A207" s="6">
        <v>4891840</v>
      </c>
      <c r="B207" s="5" t="s">
        <v>684</v>
      </c>
      <c r="C207" s="5" t="s">
        <v>135</v>
      </c>
      <c r="D207" s="5" t="s">
        <v>403</v>
      </c>
      <c r="E207" s="5" t="s">
        <v>133</v>
      </c>
      <c r="F207" s="5" t="s">
        <v>1982</v>
      </c>
      <c r="G207" s="5"/>
      <c r="H207" s="5">
        <v>699</v>
      </c>
      <c r="I207" s="5"/>
      <c r="J207" s="5" t="s">
        <v>212</v>
      </c>
      <c r="K207" s="5">
        <v>4.5</v>
      </c>
      <c r="L207" s="5">
        <v>959</v>
      </c>
      <c r="M207" s="5"/>
      <c r="N207" s="5">
        <v>1493.337491012077</v>
      </c>
      <c r="O207" s="5">
        <v>1493.337491012077</v>
      </c>
      <c r="P207" s="5" t="s">
        <v>212</v>
      </c>
      <c r="Q207" s="5" t="s">
        <v>57</v>
      </c>
      <c r="R207" s="5" t="s">
        <v>129</v>
      </c>
      <c r="S207" s="7" t="s">
        <v>1983</v>
      </c>
    </row>
    <row r="208" spans="1:19" x14ac:dyDescent="0.35">
      <c r="A208" s="6">
        <v>8861985</v>
      </c>
      <c r="B208" s="5" t="s">
        <v>878</v>
      </c>
      <c r="C208" s="5" t="s">
        <v>163</v>
      </c>
      <c r="D208" s="5" t="s">
        <v>194</v>
      </c>
      <c r="E208" s="5" t="s">
        <v>133</v>
      </c>
      <c r="F208" s="5" t="s">
        <v>1980</v>
      </c>
      <c r="G208" s="5"/>
      <c r="H208" s="5">
        <v>1499</v>
      </c>
      <c r="I208" s="5" t="s">
        <v>223</v>
      </c>
      <c r="J208" s="5" t="s">
        <v>212</v>
      </c>
      <c r="K208" s="5">
        <v>4.4000000000000004</v>
      </c>
      <c r="L208" s="5">
        <v>959</v>
      </c>
      <c r="M208" s="5">
        <v>0.6</v>
      </c>
      <c r="N208" s="5">
        <v>1790.0851063829789</v>
      </c>
      <c r="O208" s="5"/>
      <c r="P208" s="5" t="s">
        <v>212</v>
      </c>
      <c r="Q208" s="5" t="s">
        <v>55</v>
      </c>
      <c r="R208" s="5" t="s">
        <v>129</v>
      </c>
      <c r="S208" s="7" t="s">
        <v>1981</v>
      </c>
    </row>
    <row r="209" spans="1:19" x14ac:dyDescent="0.35">
      <c r="A209" s="6">
        <v>1729302</v>
      </c>
      <c r="B209" s="5" t="s">
        <v>183</v>
      </c>
      <c r="C209" s="5" t="s">
        <v>189</v>
      </c>
      <c r="D209" s="5" t="s">
        <v>162</v>
      </c>
      <c r="E209" s="5" t="s">
        <v>140</v>
      </c>
      <c r="F209" s="5" t="s">
        <v>1978</v>
      </c>
      <c r="G209" s="5">
        <v>1649</v>
      </c>
      <c r="H209" s="5">
        <v>2999</v>
      </c>
      <c r="I209" s="5" t="s">
        <v>36</v>
      </c>
      <c r="J209" s="5" t="s">
        <v>502</v>
      </c>
      <c r="K209" s="5">
        <v>4.0999999999999996</v>
      </c>
      <c r="L209" s="5">
        <v>958</v>
      </c>
      <c r="M209" s="5">
        <v>0.45</v>
      </c>
      <c r="N209" s="5">
        <v>1351.2078667815099</v>
      </c>
      <c r="O209" s="5">
        <v>1649</v>
      </c>
      <c r="P209" s="5" t="s">
        <v>502</v>
      </c>
      <c r="Q209" s="5" t="s">
        <v>57</v>
      </c>
      <c r="R209" s="5" t="s">
        <v>129</v>
      </c>
      <c r="S209" s="7" t="s">
        <v>1979</v>
      </c>
    </row>
    <row r="210" spans="1:19" x14ac:dyDescent="0.35">
      <c r="A210" s="6">
        <v>2095982</v>
      </c>
      <c r="B210" s="5" t="s">
        <v>397</v>
      </c>
      <c r="C210" s="5" t="s">
        <v>142</v>
      </c>
      <c r="D210" s="5" t="s">
        <v>77</v>
      </c>
      <c r="E210" s="5" t="s">
        <v>140</v>
      </c>
      <c r="F210" s="5" t="s">
        <v>1976</v>
      </c>
      <c r="G210" s="5">
        <v>439</v>
      </c>
      <c r="H210" s="5">
        <v>1099</v>
      </c>
      <c r="I210" s="5" t="s">
        <v>223</v>
      </c>
      <c r="J210" s="5" t="s">
        <v>150</v>
      </c>
      <c r="K210" s="5">
        <v>3.7</v>
      </c>
      <c r="L210" s="5">
        <v>958</v>
      </c>
      <c r="M210" s="5">
        <v>0.6</v>
      </c>
      <c r="N210" s="5">
        <v>1138.6340612208289</v>
      </c>
      <c r="O210" s="5">
        <v>439</v>
      </c>
      <c r="P210" s="5" t="s">
        <v>150</v>
      </c>
      <c r="Q210" s="5" t="s">
        <v>55</v>
      </c>
      <c r="R210" s="5" t="s">
        <v>129</v>
      </c>
      <c r="S210" s="7" t="s">
        <v>1977</v>
      </c>
    </row>
    <row r="211" spans="1:19" x14ac:dyDescent="0.35">
      <c r="A211" s="6">
        <v>2041659</v>
      </c>
      <c r="B211" s="5" t="s">
        <v>190</v>
      </c>
      <c r="C211" s="5" t="s">
        <v>142</v>
      </c>
      <c r="D211" s="5" t="s">
        <v>141</v>
      </c>
      <c r="E211" s="5" t="s">
        <v>140</v>
      </c>
      <c r="F211" s="5" t="s">
        <v>1974</v>
      </c>
      <c r="G211" s="5">
        <v>571</v>
      </c>
      <c r="H211" s="5">
        <v>1099</v>
      </c>
      <c r="I211" s="5" t="s">
        <v>371</v>
      </c>
      <c r="J211" s="5" t="s">
        <v>145</v>
      </c>
      <c r="K211" s="5">
        <v>4.0999999999999996</v>
      </c>
      <c r="L211" s="5">
        <v>958</v>
      </c>
      <c r="M211" s="5">
        <v>0.48</v>
      </c>
      <c r="N211" s="5">
        <v>1138.6340612208289</v>
      </c>
      <c r="O211" s="5">
        <v>571</v>
      </c>
      <c r="P211" s="5" t="s">
        <v>145</v>
      </c>
      <c r="Q211" s="5" t="s">
        <v>57</v>
      </c>
      <c r="R211" s="5" t="s">
        <v>129</v>
      </c>
      <c r="S211" s="7" t="s">
        <v>1975</v>
      </c>
    </row>
    <row r="212" spans="1:19" x14ac:dyDescent="0.35">
      <c r="A212" s="6">
        <v>5126313</v>
      </c>
      <c r="B212" s="5" t="s">
        <v>1972</v>
      </c>
      <c r="C212" s="5" t="s">
        <v>142</v>
      </c>
      <c r="D212" s="5" t="s">
        <v>141</v>
      </c>
      <c r="E212" s="5" t="s">
        <v>140</v>
      </c>
      <c r="F212" s="5" t="s">
        <v>1971</v>
      </c>
      <c r="G212" s="5">
        <v>597</v>
      </c>
      <c r="H212" s="5">
        <v>1299</v>
      </c>
      <c r="I212" s="5" t="s">
        <v>932</v>
      </c>
      <c r="J212" s="5" t="s">
        <v>1970</v>
      </c>
      <c r="K212" s="5">
        <v>3.9</v>
      </c>
      <c r="L212" s="5">
        <v>958</v>
      </c>
      <c r="M212" s="5">
        <v>0.54</v>
      </c>
      <c r="N212" s="5">
        <v>1138.6340612208289</v>
      </c>
      <c r="O212" s="5">
        <v>597</v>
      </c>
      <c r="P212" s="5" t="s">
        <v>1970</v>
      </c>
      <c r="Q212" s="5" t="s">
        <v>55</v>
      </c>
      <c r="R212" s="5" t="s">
        <v>129</v>
      </c>
      <c r="S212" s="7" t="s">
        <v>1973</v>
      </c>
    </row>
    <row r="213" spans="1:19" x14ac:dyDescent="0.35">
      <c r="A213" s="6">
        <v>11895996</v>
      </c>
      <c r="B213" s="5" t="s">
        <v>250</v>
      </c>
      <c r="C213" s="5" t="s">
        <v>142</v>
      </c>
      <c r="D213" s="5" t="s">
        <v>141</v>
      </c>
      <c r="E213" s="5" t="s">
        <v>140</v>
      </c>
      <c r="F213" s="5" t="s">
        <v>1968</v>
      </c>
      <c r="G213" s="5">
        <v>549</v>
      </c>
      <c r="H213" s="5">
        <v>999</v>
      </c>
      <c r="I213" s="5" t="s">
        <v>36</v>
      </c>
      <c r="J213" s="5" t="s">
        <v>348</v>
      </c>
      <c r="K213" s="5">
        <v>4.2</v>
      </c>
      <c r="L213" s="5">
        <v>958</v>
      </c>
      <c r="M213" s="5">
        <v>0.45</v>
      </c>
      <c r="N213" s="5">
        <v>1138.6340612208289</v>
      </c>
      <c r="O213" s="5">
        <v>549</v>
      </c>
      <c r="P213" s="5" t="s">
        <v>348</v>
      </c>
      <c r="Q213" s="5" t="s">
        <v>57</v>
      </c>
      <c r="R213" s="5" t="s">
        <v>129</v>
      </c>
      <c r="S213" s="7" t="s">
        <v>1969</v>
      </c>
    </row>
    <row r="214" spans="1:19" x14ac:dyDescent="0.35">
      <c r="A214" s="6">
        <v>12851400</v>
      </c>
      <c r="B214" s="5" t="s">
        <v>143</v>
      </c>
      <c r="C214" s="5" t="s">
        <v>235</v>
      </c>
      <c r="D214" s="5" t="s">
        <v>168</v>
      </c>
      <c r="E214" s="5" t="s">
        <v>133</v>
      </c>
      <c r="F214" s="5" t="s">
        <v>1966</v>
      </c>
      <c r="G214" s="5">
        <v>629</v>
      </c>
      <c r="H214" s="5">
        <v>1399</v>
      </c>
      <c r="I214" s="5" t="s">
        <v>178</v>
      </c>
      <c r="J214" s="5" t="s">
        <v>177</v>
      </c>
      <c r="K214" s="5">
        <v>4.2</v>
      </c>
      <c r="L214" s="5">
        <v>958</v>
      </c>
      <c r="M214" s="5">
        <v>0.55000000000000004</v>
      </c>
      <c r="N214" s="5">
        <v>923.69459774582197</v>
      </c>
      <c r="O214" s="5">
        <v>629</v>
      </c>
      <c r="P214" s="5" t="s">
        <v>177</v>
      </c>
      <c r="Q214" s="5" t="s">
        <v>55</v>
      </c>
      <c r="R214" s="5" t="s">
        <v>129</v>
      </c>
      <c r="S214" s="7" t="s">
        <v>1967</v>
      </c>
    </row>
    <row r="215" spans="1:19" x14ac:dyDescent="0.35">
      <c r="A215" s="6">
        <v>14094532</v>
      </c>
      <c r="B215" s="5" t="s">
        <v>1964</v>
      </c>
      <c r="C215" s="5" t="s">
        <v>142</v>
      </c>
      <c r="D215" s="5" t="s">
        <v>141</v>
      </c>
      <c r="E215" s="5" t="s">
        <v>140</v>
      </c>
      <c r="F215" s="5" t="s">
        <v>1963</v>
      </c>
      <c r="G215" s="5">
        <v>684</v>
      </c>
      <c r="H215" s="5">
        <v>1849</v>
      </c>
      <c r="I215" s="5" t="s">
        <v>392</v>
      </c>
      <c r="J215" s="5" t="s">
        <v>138</v>
      </c>
      <c r="K215" s="5">
        <v>4.2</v>
      </c>
      <c r="L215" s="5">
        <v>957</v>
      </c>
      <c r="M215" s="5">
        <v>0.63</v>
      </c>
      <c r="N215" s="5">
        <v>1138.6340612208289</v>
      </c>
      <c r="O215" s="5">
        <v>684</v>
      </c>
      <c r="P215" s="5" t="s">
        <v>138</v>
      </c>
      <c r="Q215" s="5" t="s">
        <v>55</v>
      </c>
      <c r="R215" s="5" t="s">
        <v>129</v>
      </c>
      <c r="S215" s="7" t="s">
        <v>1965</v>
      </c>
    </row>
    <row r="216" spans="1:19" x14ac:dyDescent="0.35">
      <c r="A216" s="6">
        <v>2444567</v>
      </c>
      <c r="B216" s="5" t="s">
        <v>225</v>
      </c>
      <c r="C216" s="5" t="s">
        <v>142</v>
      </c>
      <c r="D216" s="5" t="s">
        <v>141</v>
      </c>
      <c r="E216" s="5" t="s">
        <v>140</v>
      </c>
      <c r="F216" s="5" t="s">
        <v>1961</v>
      </c>
      <c r="G216" s="5">
        <v>1099</v>
      </c>
      <c r="H216" s="5">
        <v>2199</v>
      </c>
      <c r="I216" s="5" t="s">
        <v>209</v>
      </c>
      <c r="J216" s="5" t="s">
        <v>348</v>
      </c>
      <c r="K216" s="5">
        <v>3.9</v>
      </c>
      <c r="L216" s="5">
        <v>957</v>
      </c>
      <c r="M216" s="5">
        <v>0.5</v>
      </c>
      <c r="N216" s="5">
        <v>1138.6340612208289</v>
      </c>
      <c r="O216" s="5">
        <v>1099</v>
      </c>
      <c r="P216" s="5" t="s">
        <v>348</v>
      </c>
      <c r="Q216" s="5" t="s">
        <v>57</v>
      </c>
      <c r="R216" s="5" t="s">
        <v>129</v>
      </c>
      <c r="S216" s="7" t="s">
        <v>1962</v>
      </c>
    </row>
    <row r="217" spans="1:19" x14ac:dyDescent="0.35">
      <c r="A217" s="6">
        <v>12123128</v>
      </c>
      <c r="B217" s="5" t="s">
        <v>250</v>
      </c>
      <c r="C217" s="5" t="s">
        <v>142</v>
      </c>
      <c r="D217" s="5" t="s">
        <v>77</v>
      </c>
      <c r="E217" s="5" t="s">
        <v>140</v>
      </c>
      <c r="F217" s="5" t="s">
        <v>1959</v>
      </c>
      <c r="G217" s="5">
        <v>494</v>
      </c>
      <c r="H217" s="5">
        <v>899</v>
      </c>
      <c r="I217" s="5" t="s">
        <v>36</v>
      </c>
      <c r="J217" s="5" t="s">
        <v>458</v>
      </c>
      <c r="K217" s="5">
        <v>4.2</v>
      </c>
      <c r="L217" s="5">
        <v>957</v>
      </c>
      <c r="M217" s="5">
        <v>0.45</v>
      </c>
      <c r="N217" s="5">
        <v>1138.6340612208289</v>
      </c>
      <c r="O217" s="5">
        <v>494</v>
      </c>
      <c r="P217" s="5" t="s">
        <v>458</v>
      </c>
      <c r="Q217" s="5" t="s">
        <v>57</v>
      </c>
      <c r="R217" s="5" t="s">
        <v>129</v>
      </c>
      <c r="S217" s="7" t="s">
        <v>1960</v>
      </c>
    </row>
    <row r="218" spans="1:19" x14ac:dyDescent="0.35">
      <c r="A218" s="6">
        <v>12441728</v>
      </c>
      <c r="B218" s="5" t="s">
        <v>1452</v>
      </c>
      <c r="C218" s="5" t="s">
        <v>273</v>
      </c>
      <c r="D218" s="5" t="s">
        <v>373</v>
      </c>
      <c r="E218" s="5" t="s">
        <v>133</v>
      </c>
      <c r="F218" s="5" t="s">
        <v>1957</v>
      </c>
      <c r="G218" s="5">
        <v>854</v>
      </c>
      <c r="H218" s="5">
        <v>1899</v>
      </c>
      <c r="I218" s="5" t="s">
        <v>178</v>
      </c>
      <c r="J218" s="5" t="s">
        <v>212</v>
      </c>
      <c r="K218" s="5">
        <v>4.3</v>
      </c>
      <c r="L218" s="5">
        <v>957</v>
      </c>
      <c r="M218" s="5">
        <v>0.55000000000000004</v>
      </c>
      <c r="N218" s="5">
        <v>811.90284167198604</v>
      </c>
      <c r="O218" s="5">
        <v>854</v>
      </c>
      <c r="P218" s="5" t="s">
        <v>212</v>
      </c>
      <c r="Q218" s="5" t="s">
        <v>55</v>
      </c>
      <c r="R218" s="5" t="s">
        <v>129</v>
      </c>
      <c r="S218" s="7" t="s">
        <v>1958</v>
      </c>
    </row>
    <row r="219" spans="1:19" x14ac:dyDescent="0.35">
      <c r="A219" s="6">
        <v>9299469</v>
      </c>
      <c r="B219" s="5" t="s">
        <v>1048</v>
      </c>
      <c r="C219" s="5" t="s">
        <v>273</v>
      </c>
      <c r="D219" s="5" t="s">
        <v>155</v>
      </c>
      <c r="E219" s="5" t="s">
        <v>133</v>
      </c>
      <c r="F219" s="5" t="s">
        <v>1955</v>
      </c>
      <c r="G219" s="5">
        <v>413</v>
      </c>
      <c r="H219" s="5">
        <v>899</v>
      </c>
      <c r="I219" s="5" t="s">
        <v>932</v>
      </c>
      <c r="J219" s="5" t="s">
        <v>150</v>
      </c>
      <c r="K219" s="5">
        <v>4</v>
      </c>
      <c r="L219" s="5">
        <v>957</v>
      </c>
      <c r="M219" s="5">
        <v>0.54</v>
      </c>
      <c r="N219" s="5">
        <v>811.90284167198604</v>
      </c>
      <c r="O219" s="5">
        <v>413</v>
      </c>
      <c r="P219" s="5" t="s">
        <v>150</v>
      </c>
      <c r="Q219" s="5" t="s">
        <v>55</v>
      </c>
      <c r="R219" s="5" t="s">
        <v>129</v>
      </c>
      <c r="S219" s="7" t="s">
        <v>1956</v>
      </c>
    </row>
    <row r="220" spans="1:19" x14ac:dyDescent="0.35">
      <c r="A220" s="6">
        <v>9435685</v>
      </c>
      <c r="B220" s="5" t="s">
        <v>143</v>
      </c>
      <c r="C220" s="5" t="s">
        <v>235</v>
      </c>
      <c r="D220" s="5" t="s">
        <v>77</v>
      </c>
      <c r="E220" s="5" t="s">
        <v>133</v>
      </c>
      <c r="F220" s="5" t="s">
        <v>1953</v>
      </c>
      <c r="G220" s="5">
        <v>419</v>
      </c>
      <c r="H220" s="5">
        <v>1199</v>
      </c>
      <c r="I220" s="5" t="s">
        <v>197</v>
      </c>
      <c r="J220" s="5" t="s">
        <v>177</v>
      </c>
      <c r="K220" s="5">
        <v>4.0999999999999996</v>
      </c>
      <c r="L220" s="5">
        <v>957</v>
      </c>
      <c r="M220" s="5">
        <v>0.65</v>
      </c>
      <c r="N220" s="5">
        <v>923.69459774582197</v>
      </c>
      <c r="O220" s="5">
        <v>419</v>
      </c>
      <c r="P220" s="5" t="s">
        <v>177</v>
      </c>
      <c r="Q220" s="5" t="s">
        <v>55</v>
      </c>
      <c r="R220" s="5" t="s">
        <v>129</v>
      </c>
      <c r="S220" s="7" t="s">
        <v>1954</v>
      </c>
    </row>
    <row r="221" spans="1:19" x14ac:dyDescent="0.35">
      <c r="A221" s="6">
        <v>7119163</v>
      </c>
      <c r="B221" s="5" t="s">
        <v>143</v>
      </c>
      <c r="C221" s="5" t="s">
        <v>235</v>
      </c>
      <c r="D221" s="5" t="s">
        <v>168</v>
      </c>
      <c r="E221" s="5" t="s">
        <v>133</v>
      </c>
      <c r="F221" s="5" t="s">
        <v>1951</v>
      </c>
      <c r="G221" s="5">
        <v>799</v>
      </c>
      <c r="H221" s="5">
        <v>1999</v>
      </c>
      <c r="I221" s="5" t="s">
        <v>314</v>
      </c>
      <c r="J221" s="5" t="s">
        <v>177</v>
      </c>
      <c r="K221" s="5">
        <v>4.0999999999999996</v>
      </c>
      <c r="L221" s="5">
        <v>957</v>
      </c>
      <c r="M221" s="5">
        <v>0.6</v>
      </c>
      <c r="N221" s="5">
        <v>923.69459774582197</v>
      </c>
      <c r="O221" s="5">
        <v>799</v>
      </c>
      <c r="P221" s="5" t="s">
        <v>177</v>
      </c>
      <c r="Q221" s="5" t="s">
        <v>55</v>
      </c>
      <c r="R221" s="5" t="s">
        <v>129</v>
      </c>
      <c r="S221" s="7" t="s">
        <v>1952</v>
      </c>
    </row>
    <row r="222" spans="1:19" x14ac:dyDescent="0.35">
      <c r="A222" s="6">
        <v>7269182</v>
      </c>
      <c r="B222" s="5" t="s">
        <v>878</v>
      </c>
      <c r="C222" s="5" t="s">
        <v>163</v>
      </c>
      <c r="D222" s="5" t="s">
        <v>194</v>
      </c>
      <c r="E222" s="5" t="s">
        <v>133</v>
      </c>
      <c r="F222" s="5" t="s">
        <v>1949</v>
      </c>
      <c r="G222" s="5"/>
      <c r="H222" s="5">
        <v>1499</v>
      </c>
      <c r="I222" s="5" t="s">
        <v>230</v>
      </c>
      <c r="J222" s="5" t="s">
        <v>212</v>
      </c>
      <c r="K222" s="5">
        <v>4.3</v>
      </c>
      <c r="L222" s="5">
        <v>957</v>
      </c>
      <c r="M222" s="5">
        <v>0.62</v>
      </c>
      <c r="N222" s="5">
        <v>1790.0851063829789</v>
      </c>
      <c r="O222" s="5"/>
      <c r="P222" s="5" t="s">
        <v>212</v>
      </c>
      <c r="Q222" s="5" t="s">
        <v>55</v>
      </c>
      <c r="R222" s="5" t="s">
        <v>129</v>
      </c>
      <c r="S222" s="7" t="s">
        <v>1950</v>
      </c>
    </row>
    <row r="223" spans="1:19" x14ac:dyDescent="0.35">
      <c r="A223" s="6">
        <v>11976820</v>
      </c>
      <c r="B223" s="5" t="s">
        <v>250</v>
      </c>
      <c r="C223" s="5" t="s">
        <v>163</v>
      </c>
      <c r="D223" s="5" t="s">
        <v>77</v>
      </c>
      <c r="E223" s="5" t="s">
        <v>133</v>
      </c>
      <c r="F223" s="5" t="s">
        <v>1947</v>
      </c>
      <c r="G223" s="5"/>
      <c r="H223" s="5">
        <v>599</v>
      </c>
      <c r="I223" s="5" t="s">
        <v>131</v>
      </c>
      <c r="J223" s="5" t="s">
        <v>192</v>
      </c>
      <c r="K223" s="5">
        <v>4.3</v>
      </c>
      <c r="L223" s="5">
        <v>957</v>
      </c>
      <c r="M223" s="5">
        <v>0.4</v>
      </c>
      <c r="N223" s="5">
        <v>1790.0851063829789</v>
      </c>
      <c r="O223" s="5"/>
      <c r="P223" s="5" t="s">
        <v>192</v>
      </c>
      <c r="Q223" s="5" t="s">
        <v>57</v>
      </c>
      <c r="R223" s="5" t="s">
        <v>129</v>
      </c>
      <c r="S223" s="7" t="s">
        <v>1948</v>
      </c>
    </row>
    <row r="224" spans="1:19" x14ac:dyDescent="0.35">
      <c r="A224" s="6">
        <v>17385112</v>
      </c>
      <c r="B224" s="5" t="s">
        <v>250</v>
      </c>
      <c r="C224" s="5" t="s">
        <v>163</v>
      </c>
      <c r="D224" s="5" t="s">
        <v>77</v>
      </c>
      <c r="E224" s="5" t="s">
        <v>133</v>
      </c>
      <c r="F224" s="5" t="s">
        <v>288</v>
      </c>
      <c r="G224" s="5"/>
      <c r="H224" s="5">
        <v>1398</v>
      </c>
      <c r="I224" s="5" t="s">
        <v>209</v>
      </c>
      <c r="J224" s="5" t="s">
        <v>192</v>
      </c>
      <c r="K224" s="5">
        <v>4.4000000000000004</v>
      </c>
      <c r="L224" s="5">
        <v>956</v>
      </c>
      <c r="M224" s="5">
        <v>0.5</v>
      </c>
      <c r="N224" s="5">
        <v>1790.0851063829789</v>
      </c>
      <c r="O224" s="5"/>
      <c r="P224" s="5" t="s">
        <v>192</v>
      </c>
      <c r="Q224" s="5" t="s">
        <v>57</v>
      </c>
      <c r="R224" s="5" t="s">
        <v>129</v>
      </c>
      <c r="S224" s="7" t="s">
        <v>1946</v>
      </c>
    </row>
    <row r="225" spans="1:19" x14ac:dyDescent="0.35">
      <c r="A225" s="6">
        <v>8643125</v>
      </c>
      <c r="B225" s="5" t="s">
        <v>472</v>
      </c>
      <c r="C225" s="5" t="s">
        <v>163</v>
      </c>
      <c r="D225" s="5" t="s">
        <v>228</v>
      </c>
      <c r="E225" s="5" t="s">
        <v>133</v>
      </c>
      <c r="F225" s="5" t="s">
        <v>1944</v>
      </c>
      <c r="G225" s="5"/>
      <c r="H225" s="5">
        <v>1699</v>
      </c>
      <c r="I225" s="5" t="s">
        <v>279</v>
      </c>
      <c r="J225" s="5" t="s">
        <v>196</v>
      </c>
      <c r="K225" s="5">
        <v>4.4000000000000004</v>
      </c>
      <c r="L225" s="5">
        <v>956</v>
      </c>
      <c r="M225" s="5">
        <v>0.51</v>
      </c>
      <c r="N225" s="5">
        <v>1790.0851063829789</v>
      </c>
      <c r="O225" s="5"/>
      <c r="P225" s="5" t="s">
        <v>196</v>
      </c>
      <c r="Q225" s="5" t="s">
        <v>55</v>
      </c>
      <c r="R225" s="5" t="s">
        <v>129</v>
      </c>
      <c r="S225" s="7" t="s">
        <v>1945</v>
      </c>
    </row>
    <row r="226" spans="1:19" x14ac:dyDescent="0.35">
      <c r="A226" s="6">
        <v>2339796</v>
      </c>
      <c r="B226" s="5" t="s">
        <v>183</v>
      </c>
      <c r="C226" s="5" t="s">
        <v>189</v>
      </c>
      <c r="D226" s="5" t="s">
        <v>188</v>
      </c>
      <c r="E226" s="5" t="s">
        <v>140</v>
      </c>
      <c r="F226" s="5" t="s">
        <v>1942</v>
      </c>
      <c r="G226" s="5">
        <v>1799</v>
      </c>
      <c r="H226" s="5">
        <v>2999</v>
      </c>
      <c r="I226" s="5" t="s">
        <v>131</v>
      </c>
      <c r="J226" s="5" t="s">
        <v>502</v>
      </c>
      <c r="K226" s="5">
        <v>4.2</v>
      </c>
      <c r="L226" s="5">
        <v>955</v>
      </c>
      <c r="M226" s="5">
        <v>0.4</v>
      </c>
      <c r="N226" s="5">
        <v>1351.2078667815099</v>
      </c>
      <c r="O226" s="5">
        <v>1799</v>
      </c>
      <c r="P226" s="5" t="s">
        <v>502</v>
      </c>
      <c r="Q226" s="5" t="s">
        <v>57</v>
      </c>
      <c r="R226" s="5" t="s">
        <v>129</v>
      </c>
      <c r="S226" s="7" t="s">
        <v>1943</v>
      </c>
    </row>
    <row r="227" spans="1:19" x14ac:dyDescent="0.35">
      <c r="A227" s="6">
        <v>4451362</v>
      </c>
      <c r="B227" s="5" t="s">
        <v>1940</v>
      </c>
      <c r="C227" s="5" t="s">
        <v>189</v>
      </c>
      <c r="D227" s="5" t="s">
        <v>162</v>
      </c>
      <c r="E227" s="5" t="s">
        <v>140</v>
      </c>
      <c r="F227" s="5" t="s">
        <v>1939</v>
      </c>
      <c r="G227" s="5">
        <v>679</v>
      </c>
      <c r="H227" s="5">
        <v>1699</v>
      </c>
      <c r="I227" s="5" t="s">
        <v>223</v>
      </c>
      <c r="J227" s="5" t="s">
        <v>408</v>
      </c>
      <c r="K227" s="5">
        <v>3.8</v>
      </c>
      <c r="L227" s="5">
        <v>955</v>
      </c>
      <c r="M227" s="5">
        <v>0.6</v>
      </c>
      <c r="N227" s="5">
        <v>1351.2078667815099</v>
      </c>
      <c r="O227" s="5">
        <v>679</v>
      </c>
      <c r="P227" s="5" t="s">
        <v>408</v>
      </c>
      <c r="Q227" s="5" t="s">
        <v>55</v>
      </c>
      <c r="R227" s="5" t="s">
        <v>129</v>
      </c>
      <c r="S227" s="7" t="s">
        <v>1941</v>
      </c>
    </row>
    <row r="228" spans="1:19" x14ac:dyDescent="0.35">
      <c r="A228" s="6">
        <v>12545646</v>
      </c>
      <c r="B228" s="5" t="s">
        <v>143</v>
      </c>
      <c r="C228" s="5" t="s">
        <v>235</v>
      </c>
      <c r="D228" s="5" t="s">
        <v>162</v>
      </c>
      <c r="E228" s="5" t="s">
        <v>133</v>
      </c>
      <c r="F228" s="5" t="s">
        <v>1937</v>
      </c>
      <c r="G228" s="5">
        <v>629</v>
      </c>
      <c r="H228" s="5">
        <v>1799</v>
      </c>
      <c r="I228" s="5" t="s">
        <v>197</v>
      </c>
      <c r="J228" s="5" t="s">
        <v>296</v>
      </c>
      <c r="K228" s="5">
        <v>4</v>
      </c>
      <c r="L228" s="5">
        <v>955</v>
      </c>
      <c r="M228" s="5">
        <v>0.65</v>
      </c>
      <c r="N228" s="5">
        <v>923.69459774582197</v>
      </c>
      <c r="O228" s="5">
        <v>629</v>
      </c>
      <c r="P228" s="5" t="s">
        <v>296</v>
      </c>
      <c r="Q228" s="5" t="s">
        <v>55</v>
      </c>
      <c r="R228" s="5" t="s">
        <v>129</v>
      </c>
      <c r="S228" s="7" t="s">
        <v>1938</v>
      </c>
    </row>
    <row r="229" spans="1:19" x14ac:dyDescent="0.35">
      <c r="A229" s="6">
        <v>8195049</v>
      </c>
      <c r="B229" s="5" t="s">
        <v>164</v>
      </c>
      <c r="C229" s="5" t="s">
        <v>163</v>
      </c>
      <c r="D229" s="5" t="s">
        <v>162</v>
      </c>
      <c r="E229" s="5" t="s">
        <v>133</v>
      </c>
      <c r="F229" s="5" t="s">
        <v>1935</v>
      </c>
      <c r="G229" s="5"/>
      <c r="H229" s="5">
        <v>1899</v>
      </c>
      <c r="I229" s="5" t="s">
        <v>645</v>
      </c>
      <c r="J229" s="5" t="s">
        <v>505</v>
      </c>
      <c r="K229" s="5">
        <v>4.0999999999999996</v>
      </c>
      <c r="L229" s="5">
        <v>955</v>
      </c>
      <c r="M229" s="5">
        <v>0.52</v>
      </c>
      <c r="N229" s="5">
        <v>1790.0851063829789</v>
      </c>
      <c r="O229" s="5"/>
      <c r="P229" s="5" t="s">
        <v>505</v>
      </c>
      <c r="Q229" s="5" t="s">
        <v>55</v>
      </c>
      <c r="R229" s="5" t="s">
        <v>129</v>
      </c>
      <c r="S229" s="7" t="s">
        <v>1936</v>
      </c>
    </row>
    <row r="230" spans="1:19" x14ac:dyDescent="0.35">
      <c r="A230" s="6">
        <v>8349547</v>
      </c>
      <c r="B230" s="5" t="s">
        <v>180</v>
      </c>
      <c r="C230" s="5" t="s">
        <v>135</v>
      </c>
      <c r="D230" s="5" t="s">
        <v>194</v>
      </c>
      <c r="E230" s="5" t="s">
        <v>133</v>
      </c>
      <c r="F230" s="5" t="s">
        <v>1933</v>
      </c>
      <c r="G230" s="5">
        <v>1199</v>
      </c>
      <c r="H230" s="5">
        <v>1999</v>
      </c>
      <c r="I230" s="5" t="s">
        <v>131</v>
      </c>
      <c r="J230" s="5" t="s">
        <v>177</v>
      </c>
      <c r="K230" s="5">
        <v>4.2</v>
      </c>
      <c r="L230" s="5">
        <v>954</v>
      </c>
      <c r="M230" s="5">
        <v>0.4</v>
      </c>
      <c r="N230" s="5">
        <v>1493.337491012077</v>
      </c>
      <c r="O230" s="5">
        <v>1199</v>
      </c>
      <c r="P230" s="5" t="s">
        <v>177</v>
      </c>
      <c r="Q230" s="5" t="s">
        <v>57</v>
      </c>
      <c r="R230" s="5" t="s">
        <v>129</v>
      </c>
      <c r="S230" s="7" t="s">
        <v>1934</v>
      </c>
    </row>
    <row r="231" spans="1:19" x14ac:dyDescent="0.35">
      <c r="A231" s="6">
        <v>12134814</v>
      </c>
      <c r="B231" s="5" t="s">
        <v>460</v>
      </c>
      <c r="C231" s="5" t="s">
        <v>135</v>
      </c>
      <c r="D231" s="5" t="s">
        <v>377</v>
      </c>
      <c r="E231" s="5" t="s">
        <v>133</v>
      </c>
      <c r="F231" s="5" t="s">
        <v>1931</v>
      </c>
      <c r="G231" s="5">
        <v>1124</v>
      </c>
      <c r="H231" s="5">
        <v>2499</v>
      </c>
      <c r="I231" s="5" t="s">
        <v>178</v>
      </c>
      <c r="J231" s="5" t="s">
        <v>196</v>
      </c>
      <c r="K231" s="5">
        <v>4</v>
      </c>
      <c r="L231" s="5">
        <v>954</v>
      </c>
      <c r="M231" s="5">
        <v>0.55000000000000004</v>
      </c>
      <c r="N231" s="5">
        <v>1493.337491012077</v>
      </c>
      <c r="O231" s="5">
        <v>1124</v>
      </c>
      <c r="P231" s="5" t="s">
        <v>196</v>
      </c>
      <c r="Q231" s="5" t="s">
        <v>55</v>
      </c>
      <c r="R231" s="5" t="s">
        <v>129</v>
      </c>
      <c r="S231" s="7" t="s">
        <v>1932</v>
      </c>
    </row>
    <row r="232" spans="1:19" x14ac:dyDescent="0.35">
      <c r="A232" s="6">
        <v>11759370</v>
      </c>
      <c r="B232" s="5" t="s">
        <v>143</v>
      </c>
      <c r="C232" s="5" t="s">
        <v>235</v>
      </c>
      <c r="D232" s="5" t="s">
        <v>77</v>
      </c>
      <c r="E232" s="5" t="s">
        <v>133</v>
      </c>
      <c r="F232" s="5" t="s">
        <v>1929</v>
      </c>
      <c r="G232" s="5">
        <v>254</v>
      </c>
      <c r="H232" s="5">
        <v>849</v>
      </c>
      <c r="I232" s="5" t="s">
        <v>283</v>
      </c>
      <c r="J232" s="5" t="s">
        <v>177</v>
      </c>
      <c r="K232" s="5">
        <v>4.4000000000000004</v>
      </c>
      <c r="L232" s="5">
        <v>954</v>
      </c>
      <c r="M232" s="5">
        <v>0.7</v>
      </c>
      <c r="N232" s="5">
        <v>923.69459774582197</v>
      </c>
      <c r="O232" s="5">
        <v>254</v>
      </c>
      <c r="P232" s="5" t="s">
        <v>177</v>
      </c>
      <c r="Q232" s="5" t="s">
        <v>55</v>
      </c>
      <c r="R232" s="5" t="s">
        <v>129</v>
      </c>
      <c r="S232" s="7" t="s">
        <v>1930</v>
      </c>
    </row>
    <row r="233" spans="1:19" x14ac:dyDescent="0.35">
      <c r="A233" s="6">
        <v>1923230</v>
      </c>
      <c r="B233" s="5" t="s">
        <v>190</v>
      </c>
      <c r="C233" s="5" t="s">
        <v>142</v>
      </c>
      <c r="D233" s="5" t="s">
        <v>77</v>
      </c>
      <c r="E233" s="5" t="s">
        <v>140</v>
      </c>
      <c r="F233" s="5" t="s">
        <v>1927</v>
      </c>
      <c r="G233" s="5">
        <v>398</v>
      </c>
      <c r="H233" s="5">
        <v>699</v>
      </c>
      <c r="I233" s="5" t="s">
        <v>1748</v>
      </c>
      <c r="J233" s="5" t="s">
        <v>212</v>
      </c>
      <c r="K233" s="5">
        <v>4.0999999999999996</v>
      </c>
      <c r="L233" s="5">
        <v>953</v>
      </c>
      <c r="M233" s="5">
        <v>0.43</v>
      </c>
      <c r="N233" s="5">
        <v>1138.6340612208289</v>
      </c>
      <c r="O233" s="5">
        <v>398</v>
      </c>
      <c r="P233" s="5" t="s">
        <v>212</v>
      </c>
      <c r="Q233" s="5" t="s">
        <v>57</v>
      </c>
      <c r="R233" s="5" t="s">
        <v>129</v>
      </c>
      <c r="S233" s="7" t="s">
        <v>1928</v>
      </c>
    </row>
    <row r="234" spans="1:19" x14ac:dyDescent="0.35">
      <c r="A234" s="6">
        <v>3082389</v>
      </c>
      <c r="B234" s="5" t="s">
        <v>225</v>
      </c>
      <c r="C234" s="5" t="s">
        <v>142</v>
      </c>
      <c r="D234" s="5" t="s">
        <v>77</v>
      </c>
      <c r="E234" s="5" t="s">
        <v>140</v>
      </c>
      <c r="F234" s="5" t="s">
        <v>1925</v>
      </c>
      <c r="G234" s="5">
        <v>359</v>
      </c>
      <c r="H234" s="5">
        <v>799</v>
      </c>
      <c r="I234" s="5" t="s">
        <v>178</v>
      </c>
      <c r="J234" s="5" t="s">
        <v>212</v>
      </c>
      <c r="K234" s="5">
        <v>4.0999999999999996</v>
      </c>
      <c r="L234" s="5">
        <v>953</v>
      </c>
      <c r="M234" s="5">
        <v>0.55000000000000004</v>
      </c>
      <c r="N234" s="5">
        <v>1138.6340612208289</v>
      </c>
      <c r="O234" s="5">
        <v>359</v>
      </c>
      <c r="P234" s="5" t="s">
        <v>212</v>
      </c>
      <c r="Q234" s="5" t="s">
        <v>55</v>
      </c>
      <c r="R234" s="5" t="s">
        <v>129</v>
      </c>
      <c r="S234" s="7" t="s">
        <v>1926</v>
      </c>
    </row>
    <row r="235" spans="1:19" x14ac:dyDescent="0.35">
      <c r="A235" s="6">
        <v>17381526</v>
      </c>
      <c r="B235" s="5" t="s">
        <v>250</v>
      </c>
      <c r="C235" s="5" t="s">
        <v>163</v>
      </c>
      <c r="D235" s="5" t="s">
        <v>77</v>
      </c>
      <c r="E235" s="5" t="s">
        <v>133</v>
      </c>
      <c r="F235" s="5" t="s">
        <v>630</v>
      </c>
      <c r="G235" s="5"/>
      <c r="H235" s="5">
        <v>1198</v>
      </c>
      <c r="I235" s="5" t="s">
        <v>209</v>
      </c>
      <c r="J235" s="5" t="s">
        <v>192</v>
      </c>
      <c r="K235" s="5">
        <v>4.3</v>
      </c>
      <c r="L235" s="5">
        <v>953</v>
      </c>
      <c r="M235" s="5">
        <v>0.5</v>
      </c>
      <c r="N235" s="5">
        <v>1790.0851063829789</v>
      </c>
      <c r="O235" s="5"/>
      <c r="P235" s="5" t="s">
        <v>192</v>
      </c>
      <c r="Q235" s="5" t="s">
        <v>57</v>
      </c>
      <c r="R235" s="5" t="s">
        <v>129</v>
      </c>
      <c r="S235" s="7" t="s">
        <v>1924</v>
      </c>
    </row>
    <row r="236" spans="1:19" x14ac:dyDescent="0.35">
      <c r="A236" s="6">
        <v>6722273</v>
      </c>
      <c r="B236" s="5" t="s">
        <v>1922</v>
      </c>
      <c r="C236" s="5" t="s">
        <v>163</v>
      </c>
      <c r="D236" s="5" t="s">
        <v>162</v>
      </c>
      <c r="E236" s="5" t="s">
        <v>133</v>
      </c>
      <c r="F236" s="5" t="s">
        <v>1921</v>
      </c>
      <c r="G236" s="5"/>
      <c r="H236" s="5">
        <v>1999</v>
      </c>
      <c r="I236" s="5" t="s">
        <v>197</v>
      </c>
      <c r="J236" s="5" t="s">
        <v>222</v>
      </c>
      <c r="K236" s="5">
        <v>4.0999999999999996</v>
      </c>
      <c r="L236" s="5">
        <v>953</v>
      </c>
      <c r="M236" s="5">
        <v>0.65</v>
      </c>
      <c r="N236" s="5">
        <v>1790.0851063829789</v>
      </c>
      <c r="O236" s="5"/>
      <c r="P236" s="5" t="s">
        <v>222</v>
      </c>
      <c r="Q236" s="5" t="s">
        <v>55</v>
      </c>
      <c r="R236" s="5" t="s">
        <v>129</v>
      </c>
      <c r="S236" s="7" t="s">
        <v>1923</v>
      </c>
    </row>
    <row r="237" spans="1:19" x14ac:dyDescent="0.35">
      <c r="A237" s="6">
        <v>2315624</v>
      </c>
      <c r="B237" s="5" t="s">
        <v>250</v>
      </c>
      <c r="C237" s="5" t="s">
        <v>189</v>
      </c>
      <c r="D237" s="5" t="s">
        <v>162</v>
      </c>
      <c r="E237" s="5" t="s">
        <v>140</v>
      </c>
      <c r="F237" s="5" t="s">
        <v>1919</v>
      </c>
      <c r="G237" s="5">
        <v>1349</v>
      </c>
      <c r="H237" s="5">
        <v>2699</v>
      </c>
      <c r="I237" s="5" t="s">
        <v>209</v>
      </c>
      <c r="J237" s="5" t="s">
        <v>408</v>
      </c>
      <c r="K237" s="5">
        <v>3.9</v>
      </c>
      <c r="L237" s="5">
        <v>952</v>
      </c>
      <c r="M237" s="5">
        <v>0.5</v>
      </c>
      <c r="N237" s="5">
        <v>1351.2078667815099</v>
      </c>
      <c r="O237" s="5">
        <v>1349</v>
      </c>
      <c r="P237" s="5" t="s">
        <v>408</v>
      </c>
      <c r="Q237" s="5" t="s">
        <v>57</v>
      </c>
      <c r="R237" s="5" t="s">
        <v>129</v>
      </c>
      <c r="S237" s="7" t="s">
        <v>1920</v>
      </c>
    </row>
    <row r="238" spans="1:19" x14ac:dyDescent="0.35">
      <c r="A238" s="6">
        <v>9329675</v>
      </c>
      <c r="B238" s="5" t="s">
        <v>250</v>
      </c>
      <c r="C238" s="5" t="s">
        <v>142</v>
      </c>
      <c r="D238" s="5" t="s">
        <v>77</v>
      </c>
      <c r="E238" s="5" t="s">
        <v>140</v>
      </c>
      <c r="F238" s="5" t="s">
        <v>1917</v>
      </c>
      <c r="G238" s="5">
        <v>649</v>
      </c>
      <c r="H238" s="5">
        <v>1299</v>
      </c>
      <c r="I238" s="5" t="s">
        <v>209</v>
      </c>
      <c r="J238" s="5" t="s">
        <v>192</v>
      </c>
      <c r="K238" s="5">
        <v>4.0999999999999996</v>
      </c>
      <c r="L238" s="5">
        <v>952</v>
      </c>
      <c r="M238" s="5">
        <v>0.5</v>
      </c>
      <c r="N238" s="5">
        <v>1138.6340612208289</v>
      </c>
      <c r="O238" s="5">
        <v>649</v>
      </c>
      <c r="P238" s="5" t="s">
        <v>192</v>
      </c>
      <c r="Q238" s="5" t="s">
        <v>57</v>
      </c>
      <c r="R238" s="5" t="s">
        <v>129</v>
      </c>
      <c r="S238" s="7" t="s">
        <v>1918</v>
      </c>
    </row>
    <row r="239" spans="1:19" x14ac:dyDescent="0.35">
      <c r="A239" s="6">
        <v>8301975</v>
      </c>
      <c r="B239" s="5" t="s">
        <v>225</v>
      </c>
      <c r="C239" s="5" t="s">
        <v>142</v>
      </c>
      <c r="D239" s="5" t="s">
        <v>77</v>
      </c>
      <c r="E239" s="5" t="s">
        <v>140</v>
      </c>
      <c r="F239" s="5" t="s">
        <v>1915</v>
      </c>
      <c r="G239" s="5">
        <v>359</v>
      </c>
      <c r="H239" s="5">
        <v>899</v>
      </c>
      <c r="I239" s="5" t="s">
        <v>223</v>
      </c>
      <c r="J239" s="5" t="s">
        <v>212</v>
      </c>
      <c r="K239" s="5">
        <v>4.0999999999999996</v>
      </c>
      <c r="L239" s="5">
        <v>952</v>
      </c>
      <c r="M239" s="5">
        <v>0.6</v>
      </c>
      <c r="N239" s="5">
        <v>1138.6340612208289</v>
      </c>
      <c r="O239" s="5">
        <v>359</v>
      </c>
      <c r="P239" s="5" t="s">
        <v>212</v>
      </c>
      <c r="Q239" s="5" t="s">
        <v>55</v>
      </c>
      <c r="R239" s="5" t="s">
        <v>129</v>
      </c>
      <c r="S239" s="7" t="s">
        <v>1916</v>
      </c>
    </row>
    <row r="240" spans="1:19" x14ac:dyDescent="0.35">
      <c r="A240" s="6">
        <v>8349037</v>
      </c>
      <c r="B240" s="5" t="s">
        <v>180</v>
      </c>
      <c r="C240" s="5" t="s">
        <v>135</v>
      </c>
      <c r="D240" s="5" t="s">
        <v>377</v>
      </c>
      <c r="E240" s="5" t="s">
        <v>133</v>
      </c>
      <c r="F240" s="5" t="s">
        <v>1913</v>
      </c>
      <c r="G240" s="5">
        <v>1189</v>
      </c>
      <c r="H240" s="5">
        <v>3399</v>
      </c>
      <c r="I240" s="5" t="s">
        <v>197</v>
      </c>
      <c r="J240" s="5" t="s">
        <v>177</v>
      </c>
      <c r="K240" s="5">
        <v>3.9</v>
      </c>
      <c r="L240" s="5">
        <v>952</v>
      </c>
      <c r="M240" s="5">
        <v>0.65</v>
      </c>
      <c r="N240" s="5">
        <v>1493.337491012077</v>
      </c>
      <c r="O240" s="5">
        <v>1189</v>
      </c>
      <c r="P240" s="5" t="s">
        <v>177</v>
      </c>
      <c r="Q240" s="5" t="s">
        <v>55</v>
      </c>
      <c r="R240" s="5" t="s">
        <v>129</v>
      </c>
      <c r="S240" s="7" t="s">
        <v>1914</v>
      </c>
    </row>
    <row r="241" spans="1:19" x14ac:dyDescent="0.35">
      <c r="A241" s="6">
        <v>13769676</v>
      </c>
      <c r="B241" s="5" t="s">
        <v>308</v>
      </c>
      <c r="C241" s="5" t="s">
        <v>135</v>
      </c>
      <c r="D241" s="5" t="s">
        <v>377</v>
      </c>
      <c r="E241" s="5" t="s">
        <v>133</v>
      </c>
      <c r="F241" s="5" t="s">
        <v>1911</v>
      </c>
      <c r="G241" s="5">
        <v>1379</v>
      </c>
      <c r="H241" s="5">
        <v>4599</v>
      </c>
      <c r="I241" s="5" t="s">
        <v>283</v>
      </c>
      <c r="J241" s="5" t="s">
        <v>150</v>
      </c>
      <c r="K241" s="5">
        <v>3.9</v>
      </c>
      <c r="L241" s="5">
        <v>952</v>
      </c>
      <c r="M241" s="5">
        <v>0.7</v>
      </c>
      <c r="N241" s="5">
        <v>1493.337491012077</v>
      </c>
      <c r="O241" s="5">
        <v>1379</v>
      </c>
      <c r="P241" s="5" t="s">
        <v>150</v>
      </c>
      <c r="Q241" s="5" t="s">
        <v>55</v>
      </c>
      <c r="R241" s="5" t="s">
        <v>129</v>
      </c>
      <c r="S241" s="7" t="s">
        <v>1912</v>
      </c>
    </row>
    <row r="242" spans="1:19" x14ac:dyDescent="0.35">
      <c r="A242" s="6">
        <v>9038197</v>
      </c>
      <c r="B242" s="5" t="s">
        <v>152</v>
      </c>
      <c r="C242" s="5" t="s">
        <v>75</v>
      </c>
      <c r="D242" s="5" t="s">
        <v>77</v>
      </c>
      <c r="E242" s="5" t="s">
        <v>133</v>
      </c>
      <c r="F242" s="5" t="s">
        <v>1909</v>
      </c>
      <c r="G242" s="5">
        <v>449</v>
      </c>
      <c r="H242" s="5">
        <v>999</v>
      </c>
      <c r="I242" s="5" t="s">
        <v>178</v>
      </c>
      <c r="J242" s="5" t="s">
        <v>192</v>
      </c>
      <c r="K242" s="5">
        <v>4.4000000000000004</v>
      </c>
      <c r="L242" s="5">
        <v>952</v>
      </c>
      <c r="M242" s="5">
        <v>0.55000000000000004</v>
      </c>
      <c r="N242" s="5">
        <v>1097.3783736315199</v>
      </c>
      <c r="O242" s="5">
        <v>449</v>
      </c>
      <c r="P242" s="5" t="s">
        <v>192</v>
      </c>
      <c r="Q242" s="5" t="s">
        <v>55</v>
      </c>
      <c r="R242" s="5" t="s">
        <v>129</v>
      </c>
      <c r="S242" s="7" t="s">
        <v>1910</v>
      </c>
    </row>
    <row r="243" spans="1:19" x14ac:dyDescent="0.35">
      <c r="A243" s="6">
        <v>11264146</v>
      </c>
      <c r="B243" s="5" t="s">
        <v>200</v>
      </c>
      <c r="C243" s="5" t="s">
        <v>163</v>
      </c>
      <c r="D243" s="5" t="s">
        <v>418</v>
      </c>
      <c r="E243" s="5" t="s">
        <v>133</v>
      </c>
      <c r="F243" s="5" t="s">
        <v>1907</v>
      </c>
      <c r="G243" s="5"/>
      <c r="H243" s="5">
        <v>1299</v>
      </c>
      <c r="I243" s="5" t="s">
        <v>178</v>
      </c>
      <c r="J243" s="5" t="s">
        <v>222</v>
      </c>
      <c r="K243" s="5">
        <v>4.4000000000000004</v>
      </c>
      <c r="L243" s="5">
        <v>952</v>
      </c>
      <c r="M243" s="5">
        <v>0.55000000000000004</v>
      </c>
      <c r="N243" s="5">
        <v>1790.0851063829789</v>
      </c>
      <c r="O243" s="5"/>
      <c r="P243" s="5" t="s">
        <v>222</v>
      </c>
      <c r="Q243" s="5" t="s">
        <v>55</v>
      </c>
      <c r="R243" s="5" t="s">
        <v>129</v>
      </c>
      <c r="S243" s="7" t="s">
        <v>1908</v>
      </c>
    </row>
    <row r="244" spans="1:19" x14ac:dyDescent="0.35">
      <c r="A244" s="6">
        <v>9340227</v>
      </c>
      <c r="B244" s="5" t="s">
        <v>450</v>
      </c>
      <c r="C244" s="5" t="s">
        <v>163</v>
      </c>
      <c r="D244" s="5" t="s">
        <v>194</v>
      </c>
      <c r="E244" s="5" t="s">
        <v>133</v>
      </c>
      <c r="F244" s="5" t="s">
        <v>1029</v>
      </c>
      <c r="G244" s="5"/>
      <c r="H244" s="5">
        <v>1998</v>
      </c>
      <c r="I244" s="5" t="s">
        <v>209</v>
      </c>
      <c r="J244" s="5" t="s">
        <v>212</v>
      </c>
      <c r="K244" s="5">
        <v>4.0999999999999996</v>
      </c>
      <c r="L244" s="5">
        <v>952</v>
      </c>
      <c r="M244" s="5">
        <v>0.5</v>
      </c>
      <c r="N244" s="5">
        <v>1790.0851063829789</v>
      </c>
      <c r="O244" s="5"/>
      <c r="P244" s="5" t="s">
        <v>212</v>
      </c>
      <c r="Q244" s="5" t="s">
        <v>57</v>
      </c>
      <c r="R244" s="5" t="s">
        <v>129</v>
      </c>
      <c r="S244" s="7" t="s">
        <v>1906</v>
      </c>
    </row>
    <row r="245" spans="1:19" x14ac:dyDescent="0.35">
      <c r="A245" s="6">
        <v>8610407</v>
      </c>
      <c r="B245" s="5" t="s">
        <v>339</v>
      </c>
      <c r="C245" s="5" t="s">
        <v>163</v>
      </c>
      <c r="D245" s="5" t="s">
        <v>77</v>
      </c>
      <c r="E245" s="5" t="s">
        <v>133</v>
      </c>
      <c r="F245" s="5" t="s">
        <v>1904</v>
      </c>
      <c r="G245" s="5"/>
      <c r="H245" s="5">
        <v>799</v>
      </c>
      <c r="I245" s="5" t="s">
        <v>1267</v>
      </c>
      <c r="J245" s="5" t="s">
        <v>192</v>
      </c>
      <c r="K245" s="5">
        <v>4.3</v>
      </c>
      <c r="L245" s="5">
        <v>952</v>
      </c>
      <c r="M245" s="5">
        <v>3</v>
      </c>
      <c r="N245" s="5">
        <v>1790.0851063829789</v>
      </c>
      <c r="O245" s="5"/>
      <c r="P245" s="5" t="s">
        <v>192</v>
      </c>
      <c r="Q245" s="5" t="s">
        <v>55</v>
      </c>
      <c r="R245" s="5" t="s">
        <v>129</v>
      </c>
      <c r="S245" s="7" t="s">
        <v>1905</v>
      </c>
    </row>
    <row r="246" spans="1:19" x14ac:dyDescent="0.35">
      <c r="A246" s="6">
        <v>2163307</v>
      </c>
      <c r="B246" s="5" t="s">
        <v>143</v>
      </c>
      <c r="C246" s="5" t="s">
        <v>135</v>
      </c>
      <c r="D246" s="5" t="s">
        <v>194</v>
      </c>
      <c r="E246" s="5" t="s">
        <v>133</v>
      </c>
      <c r="F246" s="5" t="s">
        <v>1902</v>
      </c>
      <c r="G246" s="5">
        <v>769</v>
      </c>
      <c r="H246" s="5">
        <v>1399</v>
      </c>
      <c r="I246" s="5" t="s">
        <v>36</v>
      </c>
      <c r="J246" s="5" t="s">
        <v>196</v>
      </c>
      <c r="K246" s="5">
        <v>4.0999999999999996</v>
      </c>
      <c r="L246" s="5">
        <v>951</v>
      </c>
      <c r="M246" s="5">
        <v>0.45</v>
      </c>
      <c r="N246" s="5">
        <v>1493.337491012077</v>
      </c>
      <c r="O246" s="5">
        <v>769</v>
      </c>
      <c r="P246" s="5" t="s">
        <v>196</v>
      </c>
      <c r="Q246" s="5" t="s">
        <v>57</v>
      </c>
      <c r="R246" s="5" t="s">
        <v>129</v>
      </c>
      <c r="S246" s="7" t="s">
        <v>1903</v>
      </c>
    </row>
    <row r="247" spans="1:19" x14ac:dyDescent="0.35">
      <c r="A247" s="6">
        <v>10016755</v>
      </c>
      <c r="B247" s="5" t="s">
        <v>169</v>
      </c>
      <c r="C247" s="5" t="s">
        <v>135</v>
      </c>
      <c r="D247" s="5" t="s">
        <v>228</v>
      </c>
      <c r="E247" s="5" t="s">
        <v>133</v>
      </c>
      <c r="F247" s="5" t="s">
        <v>1900</v>
      </c>
      <c r="G247" s="5">
        <v>799</v>
      </c>
      <c r="H247" s="5">
        <v>1949</v>
      </c>
      <c r="I247" s="5" t="s">
        <v>160</v>
      </c>
      <c r="J247" s="5" t="s">
        <v>150</v>
      </c>
      <c r="K247" s="5">
        <v>4.3</v>
      </c>
      <c r="L247" s="5">
        <v>951</v>
      </c>
      <c r="M247" s="5">
        <v>0.59</v>
      </c>
      <c r="N247" s="5">
        <v>1493.337491012077</v>
      </c>
      <c r="O247" s="5">
        <v>799</v>
      </c>
      <c r="P247" s="5" t="s">
        <v>150</v>
      </c>
      <c r="Q247" s="5" t="s">
        <v>55</v>
      </c>
      <c r="R247" s="5" t="s">
        <v>129</v>
      </c>
      <c r="S247" s="7" t="s">
        <v>1901</v>
      </c>
    </row>
    <row r="248" spans="1:19" x14ac:dyDescent="0.35">
      <c r="A248" s="6">
        <v>6825084</v>
      </c>
      <c r="B248" s="5" t="s">
        <v>1048</v>
      </c>
      <c r="C248" s="5" t="s">
        <v>273</v>
      </c>
      <c r="D248" s="5" t="s">
        <v>442</v>
      </c>
      <c r="E248" s="5" t="s">
        <v>133</v>
      </c>
      <c r="F248" s="5" t="s">
        <v>1898</v>
      </c>
      <c r="G248" s="5">
        <v>179</v>
      </c>
      <c r="H248" s="5">
        <v>499</v>
      </c>
      <c r="I248" s="5" t="s">
        <v>306</v>
      </c>
      <c r="J248" s="5" t="s">
        <v>212</v>
      </c>
      <c r="K248" s="5">
        <v>4.3</v>
      </c>
      <c r="L248" s="5">
        <v>951</v>
      </c>
      <c r="M248" s="5">
        <v>0.64</v>
      </c>
      <c r="N248" s="5">
        <v>811.90284167198604</v>
      </c>
      <c r="O248" s="5">
        <v>179</v>
      </c>
      <c r="P248" s="5" t="s">
        <v>212</v>
      </c>
      <c r="Q248" s="5" t="s">
        <v>55</v>
      </c>
      <c r="R248" s="5" t="s">
        <v>129</v>
      </c>
      <c r="S248" s="7" t="s">
        <v>1899</v>
      </c>
    </row>
    <row r="249" spans="1:19" x14ac:dyDescent="0.35">
      <c r="A249" s="6">
        <v>9440745</v>
      </c>
      <c r="B249" s="5" t="s">
        <v>164</v>
      </c>
      <c r="C249" s="5" t="s">
        <v>163</v>
      </c>
      <c r="D249" s="5" t="s">
        <v>162</v>
      </c>
      <c r="E249" s="5" t="s">
        <v>133</v>
      </c>
      <c r="F249" s="5" t="s">
        <v>1896</v>
      </c>
      <c r="G249" s="5"/>
      <c r="H249" s="5">
        <v>1899</v>
      </c>
      <c r="I249" s="5" t="s">
        <v>319</v>
      </c>
      <c r="J249" s="5" t="s">
        <v>505</v>
      </c>
      <c r="K249" s="5">
        <v>3.9</v>
      </c>
      <c r="L249" s="5">
        <v>951</v>
      </c>
      <c r="M249" s="5">
        <v>0.57999999999999996</v>
      </c>
      <c r="N249" s="5">
        <v>1790.0851063829789</v>
      </c>
      <c r="O249" s="5"/>
      <c r="P249" s="5" t="s">
        <v>505</v>
      </c>
      <c r="Q249" s="5" t="s">
        <v>55</v>
      </c>
      <c r="R249" s="5" t="s">
        <v>129</v>
      </c>
      <c r="S249" s="7" t="s">
        <v>1897</v>
      </c>
    </row>
    <row r="250" spans="1:19" x14ac:dyDescent="0.35">
      <c r="A250" s="6">
        <v>10939124</v>
      </c>
      <c r="B250" s="5" t="s">
        <v>250</v>
      </c>
      <c r="C250" s="5" t="s">
        <v>142</v>
      </c>
      <c r="D250" s="5" t="s">
        <v>77</v>
      </c>
      <c r="E250" s="5" t="s">
        <v>140</v>
      </c>
      <c r="F250" s="5" t="s">
        <v>1894</v>
      </c>
      <c r="G250" s="5">
        <v>399</v>
      </c>
      <c r="H250" s="5">
        <v>799</v>
      </c>
      <c r="I250" s="5" t="s">
        <v>209</v>
      </c>
      <c r="J250" s="5" t="s">
        <v>192</v>
      </c>
      <c r="K250" s="5">
        <v>4.2</v>
      </c>
      <c r="L250" s="5">
        <v>950</v>
      </c>
      <c r="M250" s="5">
        <v>0.5</v>
      </c>
      <c r="N250" s="5">
        <v>1138.6340612208289</v>
      </c>
      <c r="O250" s="5">
        <v>399</v>
      </c>
      <c r="P250" s="5" t="s">
        <v>192</v>
      </c>
      <c r="Q250" s="5" t="s">
        <v>57</v>
      </c>
      <c r="R250" s="5" t="s">
        <v>129</v>
      </c>
      <c r="S250" s="7" t="s">
        <v>1895</v>
      </c>
    </row>
    <row r="251" spans="1:19" x14ac:dyDescent="0.35">
      <c r="A251" s="6">
        <v>4450322</v>
      </c>
      <c r="B251" s="5" t="s">
        <v>143</v>
      </c>
      <c r="C251" s="5" t="s">
        <v>235</v>
      </c>
      <c r="D251" s="5" t="s">
        <v>168</v>
      </c>
      <c r="E251" s="5" t="s">
        <v>133</v>
      </c>
      <c r="F251" s="5" t="s">
        <v>1892</v>
      </c>
      <c r="G251" s="5">
        <v>419</v>
      </c>
      <c r="H251" s="5">
        <v>1399</v>
      </c>
      <c r="I251" s="5" t="s">
        <v>283</v>
      </c>
      <c r="J251" s="5" t="s">
        <v>391</v>
      </c>
      <c r="K251" s="5">
        <v>4.3</v>
      </c>
      <c r="L251" s="5">
        <v>950</v>
      </c>
      <c r="M251" s="5">
        <v>0.7</v>
      </c>
      <c r="N251" s="5">
        <v>923.69459774582197</v>
      </c>
      <c r="O251" s="5">
        <v>419</v>
      </c>
      <c r="P251" s="5" t="s">
        <v>391</v>
      </c>
      <c r="Q251" s="5" t="s">
        <v>55</v>
      </c>
      <c r="R251" s="5" t="s">
        <v>129</v>
      </c>
      <c r="S251" s="7" t="s">
        <v>1893</v>
      </c>
    </row>
    <row r="252" spans="1:19" x14ac:dyDescent="0.35">
      <c r="A252" s="6">
        <v>12050580</v>
      </c>
      <c r="B252" s="5" t="s">
        <v>143</v>
      </c>
      <c r="C252" s="5" t="s">
        <v>235</v>
      </c>
      <c r="D252" s="5" t="s">
        <v>168</v>
      </c>
      <c r="E252" s="5" t="s">
        <v>133</v>
      </c>
      <c r="F252" s="5" t="s">
        <v>1890</v>
      </c>
      <c r="G252" s="5">
        <v>599</v>
      </c>
      <c r="H252" s="5">
        <v>1499</v>
      </c>
      <c r="I252" s="5" t="s">
        <v>314</v>
      </c>
      <c r="J252" s="5" t="s">
        <v>177</v>
      </c>
      <c r="K252" s="5">
        <v>4.2</v>
      </c>
      <c r="L252" s="5">
        <v>950</v>
      </c>
      <c r="M252" s="5">
        <v>0.6</v>
      </c>
      <c r="N252" s="5">
        <v>923.69459774582197</v>
      </c>
      <c r="O252" s="5">
        <v>599</v>
      </c>
      <c r="P252" s="5" t="s">
        <v>177</v>
      </c>
      <c r="Q252" s="5" t="s">
        <v>55</v>
      </c>
      <c r="R252" s="5" t="s">
        <v>129</v>
      </c>
      <c r="S252" s="7" t="s">
        <v>1891</v>
      </c>
    </row>
    <row r="253" spans="1:19" x14ac:dyDescent="0.35">
      <c r="A253" s="6">
        <v>17382176</v>
      </c>
      <c r="B253" s="5" t="s">
        <v>250</v>
      </c>
      <c r="C253" s="5" t="s">
        <v>163</v>
      </c>
      <c r="D253" s="5" t="s">
        <v>77</v>
      </c>
      <c r="E253" s="5" t="s">
        <v>133</v>
      </c>
      <c r="F253" s="5" t="s">
        <v>1186</v>
      </c>
      <c r="G253" s="5"/>
      <c r="H253" s="5">
        <v>1598</v>
      </c>
      <c r="I253" s="5" t="s">
        <v>209</v>
      </c>
      <c r="J253" s="5" t="s">
        <v>192</v>
      </c>
      <c r="K253" s="5">
        <v>4</v>
      </c>
      <c r="L253" s="5">
        <v>950</v>
      </c>
      <c r="M253" s="5">
        <v>0.5</v>
      </c>
      <c r="N253" s="5">
        <v>1790.0851063829789</v>
      </c>
      <c r="O253" s="5"/>
      <c r="P253" s="5" t="s">
        <v>192</v>
      </c>
      <c r="Q253" s="5" t="s">
        <v>57</v>
      </c>
      <c r="R253" s="5" t="s">
        <v>129</v>
      </c>
      <c r="S253" s="7" t="s">
        <v>1889</v>
      </c>
    </row>
    <row r="254" spans="1:19" x14ac:dyDescent="0.35">
      <c r="A254" s="6">
        <v>12181732</v>
      </c>
      <c r="B254" s="5" t="s">
        <v>216</v>
      </c>
      <c r="C254" s="5" t="s">
        <v>163</v>
      </c>
      <c r="D254" s="5" t="s">
        <v>228</v>
      </c>
      <c r="E254" s="5" t="s">
        <v>133</v>
      </c>
      <c r="F254" s="5" t="s">
        <v>1887</v>
      </c>
      <c r="G254" s="5"/>
      <c r="H254" s="5">
        <v>1699</v>
      </c>
      <c r="I254" s="5" t="s">
        <v>178</v>
      </c>
      <c r="J254" s="5" t="s">
        <v>212</v>
      </c>
      <c r="K254" s="5">
        <v>3.9</v>
      </c>
      <c r="L254" s="5">
        <v>950</v>
      </c>
      <c r="M254" s="5">
        <v>0.55000000000000004</v>
      </c>
      <c r="N254" s="5">
        <v>1790.0851063829789</v>
      </c>
      <c r="O254" s="5"/>
      <c r="P254" s="5" t="s">
        <v>212</v>
      </c>
      <c r="Q254" s="5" t="s">
        <v>55</v>
      </c>
      <c r="R254" s="5" t="s">
        <v>129</v>
      </c>
      <c r="S254" s="7" t="s">
        <v>1888</v>
      </c>
    </row>
    <row r="255" spans="1:19" x14ac:dyDescent="0.35">
      <c r="A255" s="6">
        <v>10696608</v>
      </c>
      <c r="B255" s="5" t="s">
        <v>1797</v>
      </c>
      <c r="C255" s="5" t="s">
        <v>163</v>
      </c>
      <c r="D255" s="5" t="s">
        <v>162</v>
      </c>
      <c r="E255" s="5" t="s">
        <v>133</v>
      </c>
      <c r="F255" s="5" t="s">
        <v>1885</v>
      </c>
      <c r="G255" s="5"/>
      <c r="H255" s="5">
        <v>2399</v>
      </c>
      <c r="I255" s="5" t="s">
        <v>223</v>
      </c>
      <c r="J255" s="5" t="s">
        <v>505</v>
      </c>
      <c r="K255" s="5">
        <v>4.3</v>
      </c>
      <c r="L255" s="5">
        <v>950</v>
      </c>
      <c r="M255" s="5">
        <v>0.6</v>
      </c>
      <c r="N255" s="5">
        <v>1790.0851063829789</v>
      </c>
      <c r="O255" s="5"/>
      <c r="P255" s="5" t="s">
        <v>505</v>
      </c>
      <c r="Q255" s="5" t="s">
        <v>55</v>
      </c>
      <c r="R255" s="5" t="s">
        <v>129</v>
      </c>
      <c r="S255" s="7" t="s">
        <v>1886</v>
      </c>
    </row>
    <row r="256" spans="1:19" x14ac:dyDescent="0.35">
      <c r="A256" s="6">
        <v>17381612</v>
      </c>
      <c r="B256" s="5" t="s">
        <v>250</v>
      </c>
      <c r="C256" s="5" t="s">
        <v>163</v>
      </c>
      <c r="D256" s="5" t="s">
        <v>77</v>
      </c>
      <c r="E256" s="5" t="s">
        <v>133</v>
      </c>
      <c r="F256" s="5" t="s">
        <v>928</v>
      </c>
      <c r="G256" s="5"/>
      <c r="H256" s="5">
        <v>1798</v>
      </c>
      <c r="I256" s="5"/>
      <c r="J256" s="5" t="s">
        <v>779</v>
      </c>
      <c r="K256" s="5">
        <v>4</v>
      </c>
      <c r="L256" s="5">
        <v>950</v>
      </c>
      <c r="M256" s="5"/>
      <c r="N256" s="5">
        <v>1790.0851063829789</v>
      </c>
      <c r="O256" s="5">
        <v>1790.0851063829789</v>
      </c>
      <c r="P256" s="5" t="s">
        <v>779</v>
      </c>
      <c r="Q256" s="5" t="s">
        <v>57</v>
      </c>
      <c r="R256" s="5" t="s">
        <v>129</v>
      </c>
      <c r="S256" s="7" t="s">
        <v>1884</v>
      </c>
    </row>
    <row r="257" spans="1:19" x14ac:dyDescent="0.35">
      <c r="A257" s="6">
        <v>8962443</v>
      </c>
      <c r="B257" s="5" t="s">
        <v>250</v>
      </c>
      <c r="C257" s="5" t="s">
        <v>189</v>
      </c>
      <c r="D257" s="5" t="s">
        <v>162</v>
      </c>
      <c r="E257" s="5" t="s">
        <v>140</v>
      </c>
      <c r="F257" s="5" t="s">
        <v>1882</v>
      </c>
      <c r="G257" s="5"/>
      <c r="H257" s="5">
        <v>1799</v>
      </c>
      <c r="I257" s="5"/>
      <c r="J257" s="5" t="s">
        <v>222</v>
      </c>
      <c r="K257" s="5">
        <v>3.6</v>
      </c>
      <c r="L257" s="5">
        <v>949</v>
      </c>
      <c r="M257" s="5"/>
      <c r="N257" s="5">
        <v>1351.2078667815099</v>
      </c>
      <c r="O257" s="5">
        <v>1351.2078667815099</v>
      </c>
      <c r="P257" s="5" t="s">
        <v>222</v>
      </c>
      <c r="Q257" s="5" t="s">
        <v>57</v>
      </c>
      <c r="R257" s="5" t="s">
        <v>129</v>
      </c>
      <c r="S257" s="7" t="s">
        <v>1883</v>
      </c>
    </row>
    <row r="258" spans="1:19" x14ac:dyDescent="0.35">
      <c r="A258" s="6">
        <v>11964926</v>
      </c>
      <c r="B258" s="5" t="s">
        <v>190</v>
      </c>
      <c r="C258" s="5" t="s">
        <v>142</v>
      </c>
      <c r="D258" s="5" t="s">
        <v>141</v>
      </c>
      <c r="E258" s="5" t="s">
        <v>140</v>
      </c>
      <c r="F258" s="5" t="s">
        <v>1880</v>
      </c>
      <c r="G258" s="5">
        <v>479</v>
      </c>
      <c r="H258" s="5">
        <v>1199</v>
      </c>
      <c r="I258" s="5" t="s">
        <v>223</v>
      </c>
      <c r="J258" s="5" t="s">
        <v>145</v>
      </c>
      <c r="K258" s="5">
        <v>4.0999999999999996</v>
      </c>
      <c r="L258" s="5">
        <v>949</v>
      </c>
      <c r="M258" s="5">
        <v>0.6</v>
      </c>
      <c r="N258" s="5">
        <v>1138.6340612208289</v>
      </c>
      <c r="O258" s="5">
        <v>479</v>
      </c>
      <c r="P258" s="5" t="s">
        <v>145</v>
      </c>
      <c r="Q258" s="5" t="s">
        <v>55</v>
      </c>
      <c r="R258" s="5" t="s">
        <v>129</v>
      </c>
      <c r="S258" s="7" t="s">
        <v>1881</v>
      </c>
    </row>
    <row r="259" spans="1:19" x14ac:dyDescent="0.35">
      <c r="A259" s="6">
        <v>9149689</v>
      </c>
      <c r="B259" s="5" t="s">
        <v>1760</v>
      </c>
      <c r="C259" s="5" t="s">
        <v>135</v>
      </c>
      <c r="D259" s="5" t="s">
        <v>228</v>
      </c>
      <c r="E259" s="5" t="s">
        <v>133</v>
      </c>
      <c r="F259" s="5" t="s">
        <v>1878</v>
      </c>
      <c r="G259" s="5">
        <v>1479</v>
      </c>
      <c r="H259" s="5">
        <v>3699</v>
      </c>
      <c r="I259" s="5" t="s">
        <v>223</v>
      </c>
      <c r="J259" s="5" t="s">
        <v>150</v>
      </c>
      <c r="K259" s="5">
        <v>4.4000000000000004</v>
      </c>
      <c r="L259" s="5">
        <v>949</v>
      </c>
      <c r="M259" s="5">
        <v>0.6</v>
      </c>
      <c r="N259" s="5">
        <v>1493.337491012077</v>
      </c>
      <c r="O259" s="5">
        <v>1479</v>
      </c>
      <c r="P259" s="5" t="s">
        <v>150</v>
      </c>
      <c r="Q259" s="5" t="s">
        <v>55</v>
      </c>
      <c r="R259" s="5" t="s">
        <v>129</v>
      </c>
      <c r="S259" s="7" t="s">
        <v>1879</v>
      </c>
    </row>
    <row r="260" spans="1:19" x14ac:dyDescent="0.35">
      <c r="A260" s="6">
        <v>10733250</v>
      </c>
      <c r="B260" s="5" t="s">
        <v>540</v>
      </c>
      <c r="C260" s="5" t="s">
        <v>163</v>
      </c>
      <c r="D260" s="5" t="s">
        <v>194</v>
      </c>
      <c r="E260" s="5" t="s">
        <v>133</v>
      </c>
      <c r="F260" s="5" t="s">
        <v>1876</v>
      </c>
      <c r="G260" s="5"/>
      <c r="H260" s="5">
        <v>1295</v>
      </c>
      <c r="I260" s="5" t="s">
        <v>213</v>
      </c>
      <c r="J260" s="5" t="s">
        <v>196</v>
      </c>
      <c r="K260" s="5">
        <v>4.3</v>
      </c>
      <c r="L260" s="5">
        <v>949</v>
      </c>
      <c r="M260" s="5">
        <v>0.56999999999999995</v>
      </c>
      <c r="N260" s="5">
        <v>1790.0851063829789</v>
      </c>
      <c r="O260" s="5"/>
      <c r="P260" s="5" t="s">
        <v>196</v>
      </c>
      <c r="Q260" s="5" t="s">
        <v>55</v>
      </c>
      <c r="R260" s="5" t="s">
        <v>129</v>
      </c>
      <c r="S260" s="7" t="s">
        <v>1877</v>
      </c>
    </row>
    <row r="261" spans="1:19" x14ac:dyDescent="0.35">
      <c r="A261" s="6">
        <v>12983800</v>
      </c>
      <c r="B261" s="5" t="s">
        <v>225</v>
      </c>
      <c r="C261" s="5" t="s">
        <v>189</v>
      </c>
      <c r="D261" s="5" t="s">
        <v>162</v>
      </c>
      <c r="E261" s="5" t="s">
        <v>140</v>
      </c>
      <c r="F261" s="5" t="s">
        <v>1874</v>
      </c>
      <c r="G261" s="5">
        <v>719</v>
      </c>
      <c r="H261" s="5">
        <v>1799</v>
      </c>
      <c r="I261" s="5" t="s">
        <v>223</v>
      </c>
      <c r="J261" s="5" t="s">
        <v>408</v>
      </c>
      <c r="K261" s="5">
        <v>3.4</v>
      </c>
      <c r="L261" s="5">
        <v>948</v>
      </c>
      <c r="M261" s="5">
        <v>0.6</v>
      </c>
      <c r="N261" s="5">
        <v>1351.2078667815099</v>
      </c>
      <c r="O261" s="5">
        <v>719</v>
      </c>
      <c r="P261" s="5" t="s">
        <v>408</v>
      </c>
      <c r="Q261" s="5" t="s">
        <v>55</v>
      </c>
      <c r="R261" s="5" t="s">
        <v>129</v>
      </c>
      <c r="S261" s="7" t="s">
        <v>1875</v>
      </c>
    </row>
    <row r="262" spans="1:19" x14ac:dyDescent="0.35">
      <c r="A262" s="6">
        <v>10343471</v>
      </c>
      <c r="B262" s="5" t="s">
        <v>225</v>
      </c>
      <c r="C262" s="5" t="s">
        <v>142</v>
      </c>
      <c r="D262" s="5" t="s">
        <v>141</v>
      </c>
      <c r="E262" s="5" t="s">
        <v>140</v>
      </c>
      <c r="F262" s="5" t="s">
        <v>1872</v>
      </c>
      <c r="G262" s="5">
        <v>919</v>
      </c>
      <c r="H262" s="5">
        <v>2299</v>
      </c>
      <c r="I262" s="5" t="s">
        <v>223</v>
      </c>
      <c r="J262" s="5" t="s">
        <v>348</v>
      </c>
      <c r="K262" s="5">
        <v>4.2</v>
      </c>
      <c r="L262" s="5">
        <v>948</v>
      </c>
      <c r="M262" s="5">
        <v>0.6</v>
      </c>
      <c r="N262" s="5">
        <v>1138.6340612208289</v>
      </c>
      <c r="O262" s="5">
        <v>919</v>
      </c>
      <c r="P262" s="5" t="s">
        <v>348</v>
      </c>
      <c r="Q262" s="5" t="s">
        <v>55</v>
      </c>
      <c r="R262" s="5" t="s">
        <v>129</v>
      </c>
      <c r="S262" s="7" t="s">
        <v>1873</v>
      </c>
    </row>
    <row r="263" spans="1:19" x14ac:dyDescent="0.35">
      <c r="A263" s="6">
        <v>10940564</v>
      </c>
      <c r="B263" s="5" t="s">
        <v>250</v>
      </c>
      <c r="C263" s="5" t="s">
        <v>142</v>
      </c>
      <c r="D263" s="5" t="s">
        <v>77</v>
      </c>
      <c r="E263" s="5" t="s">
        <v>140</v>
      </c>
      <c r="F263" s="5" t="s">
        <v>1870</v>
      </c>
      <c r="G263" s="5">
        <v>384</v>
      </c>
      <c r="H263" s="5">
        <v>699</v>
      </c>
      <c r="I263" s="5" t="s">
        <v>36</v>
      </c>
      <c r="J263" s="5" t="s">
        <v>212</v>
      </c>
      <c r="K263" s="5">
        <v>4.3</v>
      </c>
      <c r="L263" s="5">
        <v>948</v>
      </c>
      <c r="M263" s="5">
        <v>0.45</v>
      </c>
      <c r="N263" s="5">
        <v>1138.6340612208289</v>
      </c>
      <c r="O263" s="5">
        <v>384</v>
      </c>
      <c r="P263" s="5" t="s">
        <v>212</v>
      </c>
      <c r="Q263" s="5" t="s">
        <v>57</v>
      </c>
      <c r="R263" s="5" t="s">
        <v>129</v>
      </c>
      <c r="S263" s="7" t="s">
        <v>1871</v>
      </c>
    </row>
    <row r="264" spans="1:19" x14ac:dyDescent="0.35">
      <c r="A264" s="6">
        <v>8349519</v>
      </c>
      <c r="B264" s="5" t="s">
        <v>180</v>
      </c>
      <c r="C264" s="5" t="s">
        <v>135</v>
      </c>
      <c r="D264" s="5" t="s">
        <v>194</v>
      </c>
      <c r="E264" s="5" t="s">
        <v>133</v>
      </c>
      <c r="F264" s="5" t="s">
        <v>1868</v>
      </c>
      <c r="G264" s="5">
        <v>649</v>
      </c>
      <c r="H264" s="5">
        <v>1299</v>
      </c>
      <c r="I264" s="5" t="s">
        <v>209</v>
      </c>
      <c r="J264" s="5" t="s">
        <v>177</v>
      </c>
      <c r="K264" s="5">
        <v>4.4000000000000004</v>
      </c>
      <c r="L264" s="5">
        <v>948</v>
      </c>
      <c r="M264" s="5">
        <v>0.5</v>
      </c>
      <c r="N264" s="5">
        <v>1493.337491012077</v>
      </c>
      <c r="O264" s="5">
        <v>649</v>
      </c>
      <c r="P264" s="5" t="s">
        <v>177</v>
      </c>
      <c r="Q264" s="5" t="s">
        <v>57</v>
      </c>
      <c r="R264" s="5" t="s">
        <v>129</v>
      </c>
      <c r="S264" s="7" t="s">
        <v>1869</v>
      </c>
    </row>
    <row r="265" spans="1:19" x14ac:dyDescent="0.35">
      <c r="A265" s="6">
        <v>11174384</v>
      </c>
      <c r="B265" s="5" t="s">
        <v>180</v>
      </c>
      <c r="C265" s="5" t="s">
        <v>135</v>
      </c>
      <c r="D265" s="5" t="s">
        <v>168</v>
      </c>
      <c r="E265" s="5" t="s">
        <v>133</v>
      </c>
      <c r="F265" s="5" t="s">
        <v>1866</v>
      </c>
      <c r="G265" s="5">
        <v>454</v>
      </c>
      <c r="H265" s="5">
        <v>1299</v>
      </c>
      <c r="I265" s="5" t="s">
        <v>197</v>
      </c>
      <c r="J265" s="5" t="s">
        <v>177</v>
      </c>
      <c r="K265" s="5">
        <v>4.2</v>
      </c>
      <c r="L265" s="5">
        <v>948</v>
      </c>
      <c r="M265" s="5">
        <v>0.65</v>
      </c>
      <c r="N265" s="5">
        <v>1493.337491012077</v>
      </c>
      <c r="O265" s="5">
        <v>454</v>
      </c>
      <c r="P265" s="5" t="s">
        <v>177</v>
      </c>
      <c r="Q265" s="5" t="s">
        <v>55</v>
      </c>
      <c r="R265" s="5" t="s">
        <v>129</v>
      </c>
      <c r="S265" s="7" t="s">
        <v>1867</v>
      </c>
    </row>
    <row r="266" spans="1:19" x14ac:dyDescent="0.35">
      <c r="A266" s="6">
        <v>8002531</v>
      </c>
      <c r="B266" s="5" t="s">
        <v>143</v>
      </c>
      <c r="C266" s="5" t="s">
        <v>235</v>
      </c>
      <c r="D266" s="5" t="s">
        <v>228</v>
      </c>
      <c r="E266" s="5" t="s">
        <v>133</v>
      </c>
      <c r="F266" s="5" t="s">
        <v>1864</v>
      </c>
      <c r="G266" s="5">
        <v>1079</v>
      </c>
      <c r="H266" s="5">
        <v>2399</v>
      </c>
      <c r="I266" s="5" t="s">
        <v>178</v>
      </c>
      <c r="J266" s="5" t="s">
        <v>196</v>
      </c>
      <c r="K266" s="5">
        <v>4.0999999999999996</v>
      </c>
      <c r="L266" s="5">
        <v>948</v>
      </c>
      <c r="M266" s="5">
        <v>0.55000000000000004</v>
      </c>
      <c r="N266" s="5">
        <v>923.69459774582197</v>
      </c>
      <c r="O266" s="5">
        <v>1079</v>
      </c>
      <c r="P266" s="5" t="s">
        <v>196</v>
      </c>
      <c r="Q266" s="5" t="s">
        <v>55</v>
      </c>
      <c r="R266" s="5" t="s">
        <v>129</v>
      </c>
      <c r="S266" s="7" t="s">
        <v>1865</v>
      </c>
    </row>
    <row r="267" spans="1:19" x14ac:dyDescent="0.35">
      <c r="A267" s="6">
        <v>11541582</v>
      </c>
      <c r="B267" s="5" t="s">
        <v>250</v>
      </c>
      <c r="C267" s="5" t="s">
        <v>163</v>
      </c>
      <c r="D267" s="5" t="s">
        <v>162</v>
      </c>
      <c r="E267" s="5" t="s">
        <v>133</v>
      </c>
      <c r="F267" s="5" t="s">
        <v>1551</v>
      </c>
      <c r="G267" s="5"/>
      <c r="H267" s="5">
        <v>1699</v>
      </c>
      <c r="I267" s="5" t="s">
        <v>209</v>
      </c>
      <c r="J267" s="5" t="s">
        <v>222</v>
      </c>
      <c r="K267" s="5">
        <v>4.2</v>
      </c>
      <c r="L267" s="5">
        <v>948</v>
      </c>
      <c r="M267" s="5">
        <v>0.5</v>
      </c>
      <c r="N267" s="5">
        <v>1790.0851063829789</v>
      </c>
      <c r="O267" s="5"/>
      <c r="P267" s="5" t="s">
        <v>222</v>
      </c>
      <c r="Q267" s="5" t="s">
        <v>57</v>
      </c>
      <c r="R267" s="5" t="s">
        <v>129</v>
      </c>
      <c r="S267" s="7" t="s">
        <v>1863</v>
      </c>
    </row>
    <row r="268" spans="1:19" x14ac:dyDescent="0.35">
      <c r="A268" s="6">
        <v>8195047</v>
      </c>
      <c r="B268" s="5" t="s">
        <v>164</v>
      </c>
      <c r="C268" s="5" t="s">
        <v>163</v>
      </c>
      <c r="D268" s="5" t="s">
        <v>194</v>
      </c>
      <c r="E268" s="5" t="s">
        <v>133</v>
      </c>
      <c r="F268" s="5" t="s">
        <v>1861</v>
      </c>
      <c r="G268" s="5"/>
      <c r="H268" s="5">
        <v>949</v>
      </c>
      <c r="I268" s="5" t="s">
        <v>230</v>
      </c>
      <c r="J268" s="5" t="s">
        <v>212</v>
      </c>
      <c r="K268" s="5">
        <v>4.0999999999999996</v>
      </c>
      <c r="L268" s="5">
        <v>948</v>
      </c>
      <c r="M268" s="5">
        <v>0.62</v>
      </c>
      <c r="N268" s="5">
        <v>1790.0851063829789</v>
      </c>
      <c r="O268" s="5"/>
      <c r="P268" s="5" t="s">
        <v>212</v>
      </c>
      <c r="Q268" s="5" t="s">
        <v>55</v>
      </c>
      <c r="R268" s="5" t="s">
        <v>129</v>
      </c>
      <c r="S268" s="7" t="s">
        <v>1862</v>
      </c>
    </row>
    <row r="269" spans="1:19" x14ac:dyDescent="0.35">
      <c r="A269" s="6">
        <v>10481292</v>
      </c>
      <c r="B269" s="5" t="s">
        <v>1859</v>
      </c>
      <c r="C269" s="5" t="s">
        <v>142</v>
      </c>
      <c r="D269" s="5" t="s">
        <v>77</v>
      </c>
      <c r="E269" s="5" t="s">
        <v>140</v>
      </c>
      <c r="F269" s="5" t="s">
        <v>1858</v>
      </c>
      <c r="G269" s="5">
        <v>857</v>
      </c>
      <c r="H269" s="5">
        <v>2765</v>
      </c>
      <c r="I269" s="5" t="s">
        <v>1857</v>
      </c>
      <c r="J269" s="5" t="s">
        <v>1856</v>
      </c>
      <c r="K269" s="5">
        <v>4.3</v>
      </c>
      <c r="L269" s="5">
        <v>947</v>
      </c>
      <c r="M269" s="5">
        <v>0.69</v>
      </c>
      <c r="N269" s="5">
        <v>1138.6340612208289</v>
      </c>
      <c r="O269" s="5">
        <v>857</v>
      </c>
      <c r="P269" s="5" t="s">
        <v>1856</v>
      </c>
      <c r="Q269" s="5" t="s">
        <v>55</v>
      </c>
      <c r="R269" s="5" t="s">
        <v>129</v>
      </c>
      <c r="S269" s="7" t="s">
        <v>1860</v>
      </c>
    </row>
    <row r="270" spans="1:19" x14ac:dyDescent="0.35">
      <c r="A270" s="6">
        <v>9753225</v>
      </c>
      <c r="B270" s="5" t="s">
        <v>175</v>
      </c>
      <c r="C270" s="5" t="s">
        <v>135</v>
      </c>
      <c r="D270" s="5" t="s">
        <v>174</v>
      </c>
      <c r="E270" s="5" t="s">
        <v>133</v>
      </c>
      <c r="F270" s="5" t="s">
        <v>1854</v>
      </c>
      <c r="G270" s="5">
        <v>620</v>
      </c>
      <c r="H270" s="5">
        <v>2299</v>
      </c>
      <c r="I270" s="5" t="s">
        <v>1303</v>
      </c>
      <c r="J270" s="5" t="s">
        <v>171</v>
      </c>
      <c r="K270" s="5">
        <v>3.9</v>
      </c>
      <c r="L270" s="5">
        <v>947</v>
      </c>
      <c r="M270" s="5">
        <v>0.73</v>
      </c>
      <c r="N270" s="5">
        <v>1493.337491012077</v>
      </c>
      <c r="O270" s="5">
        <v>620</v>
      </c>
      <c r="P270" s="5" t="s">
        <v>171</v>
      </c>
      <c r="Q270" s="5" t="s">
        <v>55</v>
      </c>
      <c r="R270" s="5" t="s">
        <v>129</v>
      </c>
      <c r="S270" s="7" t="s">
        <v>1855</v>
      </c>
    </row>
    <row r="271" spans="1:19" x14ac:dyDescent="0.35">
      <c r="A271" s="6">
        <v>2077137</v>
      </c>
      <c r="B271" s="5" t="s">
        <v>143</v>
      </c>
      <c r="C271" s="5" t="s">
        <v>235</v>
      </c>
      <c r="D271" s="5" t="s">
        <v>194</v>
      </c>
      <c r="E271" s="5" t="s">
        <v>133</v>
      </c>
      <c r="F271" s="5" t="s">
        <v>1852</v>
      </c>
      <c r="G271" s="5">
        <v>419</v>
      </c>
      <c r="H271" s="5">
        <v>1399</v>
      </c>
      <c r="I271" s="5" t="s">
        <v>283</v>
      </c>
      <c r="J271" s="5" t="s">
        <v>150</v>
      </c>
      <c r="K271" s="5">
        <v>4</v>
      </c>
      <c r="L271" s="5">
        <v>947</v>
      </c>
      <c r="M271" s="5">
        <v>0.7</v>
      </c>
      <c r="N271" s="5">
        <v>923.69459774582197</v>
      </c>
      <c r="O271" s="5">
        <v>419</v>
      </c>
      <c r="P271" s="5" t="s">
        <v>150</v>
      </c>
      <c r="Q271" s="5" t="s">
        <v>55</v>
      </c>
      <c r="R271" s="5" t="s">
        <v>129</v>
      </c>
      <c r="S271" s="7" t="s">
        <v>1853</v>
      </c>
    </row>
    <row r="272" spans="1:19" x14ac:dyDescent="0.35">
      <c r="A272" s="6">
        <v>13205026</v>
      </c>
      <c r="B272" s="5" t="s">
        <v>365</v>
      </c>
      <c r="C272" s="5" t="s">
        <v>163</v>
      </c>
      <c r="D272" s="5" t="s">
        <v>141</v>
      </c>
      <c r="E272" s="5" t="s">
        <v>133</v>
      </c>
      <c r="F272" s="5" t="s">
        <v>1850</v>
      </c>
      <c r="G272" s="5"/>
      <c r="H272" s="5">
        <v>1499</v>
      </c>
      <c r="I272" s="5" t="s">
        <v>205</v>
      </c>
      <c r="J272" s="5" t="s">
        <v>192</v>
      </c>
      <c r="K272" s="5">
        <v>4.3</v>
      </c>
      <c r="L272" s="5">
        <v>947</v>
      </c>
      <c r="M272" s="5">
        <v>0.35</v>
      </c>
      <c r="N272" s="5">
        <v>1790.0851063829789</v>
      </c>
      <c r="O272" s="5"/>
      <c r="P272" s="5" t="s">
        <v>192</v>
      </c>
      <c r="Q272" s="5" t="s">
        <v>57</v>
      </c>
      <c r="R272" s="5" t="s">
        <v>129</v>
      </c>
      <c r="S272" s="7" t="s">
        <v>1851</v>
      </c>
    </row>
    <row r="273" spans="1:19" x14ac:dyDescent="0.35">
      <c r="A273" s="6">
        <v>17383352</v>
      </c>
      <c r="B273" s="5" t="s">
        <v>250</v>
      </c>
      <c r="C273" s="5" t="s">
        <v>163</v>
      </c>
      <c r="D273" s="5" t="s">
        <v>77</v>
      </c>
      <c r="E273" s="5" t="s">
        <v>133</v>
      </c>
      <c r="F273" s="5" t="s">
        <v>1848</v>
      </c>
      <c r="G273" s="5"/>
      <c r="H273" s="5">
        <v>1598</v>
      </c>
      <c r="I273" s="5" t="s">
        <v>209</v>
      </c>
      <c r="J273" s="5" t="s">
        <v>255</v>
      </c>
      <c r="K273" s="5">
        <v>4.3</v>
      </c>
      <c r="L273" s="5">
        <v>947</v>
      </c>
      <c r="M273" s="5">
        <v>0.5</v>
      </c>
      <c r="N273" s="5">
        <v>1790.0851063829789</v>
      </c>
      <c r="O273" s="5"/>
      <c r="P273" s="5" t="s">
        <v>255</v>
      </c>
      <c r="Q273" s="5" t="s">
        <v>57</v>
      </c>
      <c r="R273" s="5" t="s">
        <v>129</v>
      </c>
      <c r="S273" s="7" t="s">
        <v>1849</v>
      </c>
    </row>
    <row r="274" spans="1:19" x14ac:dyDescent="0.35">
      <c r="A274" s="6">
        <v>10051297</v>
      </c>
      <c r="B274" s="5" t="s">
        <v>164</v>
      </c>
      <c r="C274" s="5" t="s">
        <v>163</v>
      </c>
      <c r="D274" s="5" t="s">
        <v>1677</v>
      </c>
      <c r="E274" s="5" t="s">
        <v>133</v>
      </c>
      <c r="F274" s="5" t="s">
        <v>1846</v>
      </c>
      <c r="G274" s="5"/>
      <c r="H274" s="5">
        <v>1749</v>
      </c>
      <c r="I274" s="5" t="s">
        <v>319</v>
      </c>
      <c r="J274" s="5" t="s">
        <v>212</v>
      </c>
      <c r="K274" s="5">
        <v>4.3</v>
      </c>
      <c r="L274" s="5">
        <v>947</v>
      </c>
      <c r="M274" s="5">
        <v>0.57999999999999996</v>
      </c>
      <c r="N274" s="5">
        <v>1790.0851063829789</v>
      </c>
      <c r="O274" s="5"/>
      <c r="P274" s="5" t="s">
        <v>212</v>
      </c>
      <c r="Q274" s="5" t="s">
        <v>55</v>
      </c>
      <c r="R274" s="5" t="s">
        <v>129</v>
      </c>
      <c r="S274" s="7" t="s">
        <v>1847</v>
      </c>
    </row>
    <row r="275" spans="1:19" x14ac:dyDescent="0.35">
      <c r="A275" s="6">
        <v>12178112</v>
      </c>
      <c r="B275" s="5" t="s">
        <v>250</v>
      </c>
      <c r="C275" s="5" t="s">
        <v>163</v>
      </c>
      <c r="D275" s="5" t="s">
        <v>493</v>
      </c>
      <c r="E275" s="5" t="s">
        <v>133</v>
      </c>
      <c r="F275" s="5" t="s">
        <v>1844</v>
      </c>
      <c r="G275" s="5"/>
      <c r="H275" s="5">
        <v>2299</v>
      </c>
      <c r="I275" s="5" t="s">
        <v>178</v>
      </c>
      <c r="J275" s="5" t="s">
        <v>192</v>
      </c>
      <c r="K275" s="5">
        <v>4.4000000000000004</v>
      </c>
      <c r="L275" s="5">
        <v>947</v>
      </c>
      <c r="M275" s="5">
        <v>0.55000000000000004</v>
      </c>
      <c r="N275" s="5">
        <v>1790.0851063829789</v>
      </c>
      <c r="O275" s="5"/>
      <c r="P275" s="5" t="s">
        <v>192</v>
      </c>
      <c r="Q275" s="5" t="s">
        <v>55</v>
      </c>
      <c r="R275" s="5" t="s">
        <v>129</v>
      </c>
      <c r="S275" s="7" t="s">
        <v>1845</v>
      </c>
    </row>
    <row r="276" spans="1:19" x14ac:dyDescent="0.35">
      <c r="A276" s="6">
        <v>12032616</v>
      </c>
      <c r="B276" s="5" t="s">
        <v>678</v>
      </c>
      <c r="C276" s="5" t="s">
        <v>156</v>
      </c>
      <c r="D276" s="5" t="s">
        <v>500</v>
      </c>
      <c r="E276" s="5" t="s">
        <v>140</v>
      </c>
      <c r="F276" s="5" t="s">
        <v>1842</v>
      </c>
      <c r="G276" s="5"/>
      <c r="H276" s="5">
        <v>289</v>
      </c>
      <c r="I276" s="5"/>
      <c r="J276" s="5" t="s">
        <v>212</v>
      </c>
      <c r="K276" s="5">
        <v>4.3</v>
      </c>
      <c r="L276" s="5">
        <v>946</v>
      </c>
      <c r="M276" s="5"/>
      <c r="N276" s="5">
        <v>691.83976143141149</v>
      </c>
      <c r="O276" s="5">
        <v>691.83976143141149</v>
      </c>
      <c r="P276" s="5" t="s">
        <v>212</v>
      </c>
      <c r="Q276" s="5" t="s">
        <v>57</v>
      </c>
      <c r="R276" s="5" t="s">
        <v>129</v>
      </c>
      <c r="S276" s="7" t="s">
        <v>1843</v>
      </c>
    </row>
    <row r="277" spans="1:19" x14ac:dyDescent="0.35">
      <c r="A277" s="6">
        <v>2190876</v>
      </c>
      <c r="B277" s="5" t="s">
        <v>1625</v>
      </c>
      <c r="C277" s="5" t="s">
        <v>273</v>
      </c>
      <c r="D277" s="5" t="s">
        <v>442</v>
      </c>
      <c r="E277" s="5" t="s">
        <v>133</v>
      </c>
      <c r="F277" s="5" t="s">
        <v>1840</v>
      </c>
      <c r="G277" s="5">
        <v>720</v>
      </c>
      <c r="H277" s="5">
        <v>960</v>
      </c>
      <c r="I277" s="5" t="s">
        <v>573</v>
      </c>
      <c r="J277" s="5" t="s">
        <v>196</v>
      </c>
      <c r="K277" s="5">
        <v>4.2</v>
      </c>
      <c r="L277" s="5">
        <v>946</v>
      </c>
      <c r="M277" s="5">
        <v>0.25</v>
      </c>
      <c r="N277" s="5">
        <v>811.90284167198604</v>
      </c>
      <c r="O277" s="5">
        <v>720</v>
      </c>
      <c r="P277" s="5" t="s">
        <v>196</v>
      </c>
      <c r="Q277" s="5" t="s">
        <v>57</v>
      </c>
      <c r="R277" s="5" t="s">
        <v>129</v>
      </c>
      <c r="S277" s="7" t="s">
        <v>1841</v>
      </c>
    </row>
    <row r="278" spans="1:19" x14ac:dyDescent="0.35">
      <c r="A278" s="6">
        <v>11541504</v>
      </c>
      <c r="B278" s="5" t="s">
        <v>250</v>
      </c>
      <c r="C278" s="5" t="s">
        <v>163</v>
      </c>
      <c r="D278" s="5" t="s">
        <v>162</v>
      </c>
      <c r="E278" s="5" t="s">
        <v>133</v>
      </c>
      <c r="F278" s="5" t="s">
        <v>1040</v>
      </c>
      <c r="G278" s="5"/>
      <c r="H278" s="5">
        <v>1499</v>
      </c>
      <c r="I278" s="5" t="s">
        <v>36</v>
      </c>
      <c r="J278" s="5" t="s">
        <v>222</v>
      </c>
      <c r="K278" s="5">
        <v>4.2</v>
      </c>
      <c r="L278" s="5">
        <v>946</v>
      </c>
      <c r="M278" s="5">
        <v>0.45</v>
      </c>
      <c r="N278" s="5">
        <v>1790.0851063829789</v>
      </c>
      <c r="O278" s="5"/>
      <c r="P278" s="5" t="s">
        <v>222</v>
      </c>
      <c r="Q278" s="5" t="s">
        <v>57</v>
      </c>
      <c r="R278" s="5" t="s">
        <v>129</v>
      </c>
      <c r="S278" s="7" t="s">
        <v>1839</v>
      </c>
    </row>
    <row r="279" spans="1:19" x14ac:dyDescent="0.35">
      <c r="A279" s="6">
        <v>7772555</v>
      </c>
      <c r="B279" s="5" t="s">
        <v>424</v>
      </c>
      <c r="C279" s="5" t="s">
        <v>163</v>
      </c>
      <c r="D279" s="5" t="s">
        <v>493</v>
      </c>
      <c r="E279" s="5" t="s">
        <v>133</v>
      </c>
      <c r="F279" s="5" t="s">
        <v>1837</v>
      </c>
      <c r="G279" s="5"/>
      <c r="H279" s="5">
        <v>1899</v>
      </c>
      <c r="I279" s="5" t="s">
        <v>209</v>
      </c>
      <c r="J279" s="5" t="s">
        <v>192</v>
      </c>
      <c r="K279" s="5">
        <v>4</v>
      </c>
      <c r="L279" s="5">
        <v>946</v>
      </c>
      <c r="M279" s="5">
        <v>0.5</v>
      </c>
      <c r="N279" s="5">
        <v>1790.0851063829789</v>
      </c>
      <c r="O279" s="5"/>
      <c r="P279" s="5" t="s">
        <v>192</v>
      </c>
      <c r="Q279" s="5" t="s">
        <v>57</v>
      </c>
      <c r="R279" s="5" t="s">
        <v>129</v>
      </c>
      <c r="S279" s="7" t="s">
        <v>1838</v>
      </c>
    </row>
    <row r="280" spans="1:19" x14ac:dyDescent="0.35">
      <c r="A280" s="6">
        <v>11711888</v>
      </c>
      <c r="B280" s="5" t="s">
        <v>225</v>
      </c>
      <c r="C280" s="5" t="s">
        <v>163</v>
      </c>
      <c r="D280" s="5" t="s">
        <v>77</v>
      </c>
      <c r="E280" s="5" t="s">
        <v>133</v>
      </c>
      <c r="F280" s="5" t="s">
        <v>1835</v>
      </c>
      <c r="G280" s="5"/>
      <c r="H280" s="5">
        <v>799</v>
      </c>
      <c r="I280" s="5" t="s">
        <v>223</v>
      </c>
      <c r="J280" s="5" t="s">
        <v>192</v>
      </c>
      <c r="K280" s="5">
        <v>4.3</v>
      </c>
      <c r="L280" s="5">
        <v>946</v>
      </c>
      <c r="M280" s="5">
        <v>0.6</v>
      </c>
      <c r="N280" s="5">
        <v>1790.0851063829789</v>
      </c>
      <c r="O280" s="5"/>
      <c r="P280" s="5" t="s">
        <v>192</v>
      </c>
      <c r="Q280" s="5" t="s">
        <v>55</v>
      </c>
      <c r="R280" s="5" t="s">
        <v>129</v>
      </c>
      <c r="S280" s="7" t="s">
        <v>1836</v>
      </c>
    </row>
    <row r="281" spans="1:19" x14ac:dyDescent="0.35">
      <c r="A281" s="6">
        <v>12009564</v>
      </c>
      <c r="B281" s="5" t="s">
        <v>164</v>
      </c>
      <c r="C281" s="5" t="s">
        <v>163</v>
      </c>
      <c r="D281" s="5" t="s">
        <v>194</v>
      </c>
      <c r="E281" s="5" t="s">
        <v>133</v>
      </c>
      <c r="F281" s="5" t="s">
        <v>1833</v>
      </c>
      <c r="G281" s="5"/>
      <c r="H281" s="5">
        <v>799</v>
      </c>
      <c r="I281" s="5" t="s">
        <v>817</v>
      </c>
      <c r="J281" s="5" t="s">
        <v>212</v>
      </c>
      <c r="K281" s="5">
        <v>4.4000000000000004</v>
      </c>
      <c r="L281" s="5">
        <v>946</v>
      </c>
      <c r="M281" s="5">
        <v>0.47</v>
      </c>
      <c r="N281" s="5">
        <v>1790.0851063829789</v>
      </c>
      <c r="O281" s="5"/>
      <c r="P281" s="5" t="s">
        <v>212</v>
      </c>
      <c r="Q281" s="5" t="s">
        <v>57</v>
      </c>
      <c r="R281" s="5" t="s">
        <v>129</v>
      </c>
      <c r="S281" s="7" t="s">
        <v>1834</v>
      </c>
    </row>
    <row r="282" spans="1:19" x14ac:dyDescent="0.35">
      <c r="A282" s="6">
        <v>11326694</v>
      </c>
      <c r="B282" s="5" t="s">
        <v>250</v>
      </c>
      <c r="C282" s="5" t="s">
        <v>142</v>
      </c>
      <c r="D282" s="5" t="s">
        <v>141</v>
      </c>
      <c r="E282" s="5" t="s">
        <v>140</v>
      </c>
      <c r="F282" s="5" t="s">
        <v>1831</v>
      </c>
      <c r="G282" s="5">
        <v>779</v>
      </c>
      <c r="H282" s="5">
        <v>1299</v>
      </c>
      <c r="I282" s="5" t="s">
        <v>131</v>
      </c>
      <c r="J282" s="5" t="s">
        <v>348</v>
      </c>
      <c r="K282" s="5">
        <v>4.3</v>
      </c>
      <c r="L282" s="5">
        <v>945</v>
      </c>
      <c r="M282" s="5">
        <v>0.4</v>
      </c>
      <c r="N282" s="5">
        <v>1138.6340612208289</v>
      </c>
      <c r="O282" s="5">
        <v>779</v>
      </c>
      <c r="P282" s="5" t="s">
        <v>348</v>
      </c>
      <c r="Q282" s="5" t="s">
        <v>57</v>
      </c>
      <c r="R282" s="5" t="s">
        <v>129</v>
      </c>
      <c r="S282" s="7" t="s">
        <v>1832</v>
      </c>
    </row>
    <row r="283" spans="1:19" x14ac:dyDescent="0.35">
      <c r="A283" s="6">
        <v>1908862</v>
      </c>
      <c r="B283" s="5" t="s">
        <v>274</v>
      </c>
      <c r="C283" s="5" t="s">
        <v>273</v>
      </c>
      <c r="D283" s="5" t="s">
        <v>272</v>
      </c>
      <c r="E283" s="5" t="s">
        <v>133</v>
      </c>
      <c r="F283" s="5" t="s">
        <v>1829</v>
      </c>
      <c r="G283" s="5">
        <v>853</v>
      </c>
      <c r="H283" s="5">
        <v>898</v>
      </c>
      <c r="I283" s="5" t="s">
        <v>594</v>
      </c>
      <c r="J283" s="5" t="s">
        <v>1406</v>
      </c>
      <c r="K283" s="5">
        <v>4.0999999999999996</v>
      </c>
      <c r="L283" s="5">
        <v>945</v>
      </c>
      <c r="M283" s="5">
        <v>0.05</v>
      </c>
      <c r="N283" s="5">
        <v>811.90284167198604</v>
      </c>
      <c r="O283" s="5">
        <v>853</v>
      </c>
      <c r="P283" s="5" t="s">
        <v>1406</v>
      </c>
      <c r="Q283" s="5" t="s">
        <v>57</v>
      </c>
      <c r="R283" s="5" t="s">
        <v>129</v>
      </c>
      <c r="S283" s="7" t="s">
        <v>1830</v>
      </c>
    </row>
    <row r="284" spans="1:19" x14ac:dyDescent="0.35">
      <c r="A284" s="6">
        <v>11431386</v>
      </c>
      <c r="B284" s="5" t="s">
        <v>339</v>
      </c>
      <c r="C284" s="5" t="s">
        <v>163</v>
      </c>
      <c r="D284" s="5" t="s">
        <v>77</v>
      </c>
      <c r="E284" s="5" t="s">
        <v>133</v>
      </c>
      <c r="F284" s="5" t="s">
        <v>1827</v>
      </c>
      <c r="G284" s="5"/>
      <c r="H284" s="5">
        <v>1099</v>
      </c>
      <c r="I284" s="5" t="s">
        <v>197</v>
      </c>
      <c r="J284" s="5" t="s">
        <v>192</v>
      </c>
      <c r="K284" s="5">
        <v>4.2</v>
      </c>
      <c r="L284" s="5">
        <v>945</v>
      </c>
      <c r="M284" s="5">
        <v>0.65</v>
      </c>
      <c r="N284" s="5">
        <v>1790.0851063829789</v>
      </c>
      <c r="O284" s="5"/>
      <c r="P284" s="5" t="s">
        <v>192</v>
      </c>
      <c r="Q284" s="5" t="s">
        <v>55</v>
      </c>
      <c r="R284" s="5" t="s">
        <v>129</v>
      </c>
      <c r="S284" s="7" t="s">
        <v>1828</v>
      </c>
    </row>
    <row r="285" spans="1:19" x14ac:dyDescent="0.35">
      <c r="A285" s="6">
        <v>10679170</v>
      </c>
      <c r="B285" s="5" t="s">
        <v>250</v>
      </c>
      <c r="C285" s="5" t="s">
        <v>142</v>
      </c>
      <c r="D285" s="5" t="s">
        <v>493</v>
      </c>
      <c r="E285" s="5" t="s">
        <v>140</v>
      </c>
      <c r="F285" s="5" t="s">
        <v>1825</v>
      </c>
      <c r="G285" s="5">
        <v>1759</v>
      </c>
      <c r="H285" s="5">
        <v>4399</v>
      </c>
      <c r="I285" s="5" t="s">
        <v>223</v>
      </c>
      <c r="J285" s="5" t="s">
        <v>391</v>
      </c>
      <c r="K285" s="5">
        <v>4.0999999999999996</v>
      </c>
      <c r="L285" s="5">
        <v>944</v>
      </c>
      <c r="M285" s="5">
        <v>0.6</v>
      </c>
      <c r="N285" s="5">
        <v>1138.6340612208289</v>
      </c>
      <c r="O285" s="5">
        <v>1759</v>
      </c>
      <c r="P285" s="5" t="s">
        <v>391</v>
      </c>
      <c r="Q285" s="5" t="s">
        <v>55</v>
      </c>
      <c r="R285" s="5" t="s">
        <v>129</v>
      </c>
      <c r="S285" s="7" t="s">
        <v>1826</v>
      </c>
    </row>
    <row r="286" spans="1:19" x14ac:dyDescent="0.35">
      <c r="A286" s="6">
        <v>1996724</v>
      </c>
      <c r="B286" s="5" t="s">
        <v>250</v>
      </c>
      <c r="C286" s="5" t="s">
        <v>142</v>
      </c>
      <c r="D286" s="5" t="s">
        <v>77</v>
      </c>
      <c r="E286" s="5" t="s">
        <v>140</v>
      </c>
      <c r="F286" s="5" t="s">
        <v>1823</v>
      </c>
      <c r="G286" s="5"/>
      <c r="H286" s="5">
        <v>699</v>
      </c>
      <c r="I286" s="5"/>
      <c r="J286" s="5" t="s">
        <v>212</v>
      </c>
      <c r="K286" s="5">
        <v>4.2</v>
      </c>
      <c r="L286" s="5">
        <v>944</v>
      </c>
      <c r="M286" s="5"/>
      <c r="N286" s="5">
        <v>1138.6340612208289</v>
      </c>
      <c r="O286" s="5">
        <v>1138.6340612208289</v>
      </c>
      <c r="P286" s="5" t="s">
        <v>212</v>
      </c>
      <c r="Q286" s="5" t="s">
        <v>57</v>
      </c>
      <c r="R286" s="5" t="s">
        <v>129</v>
      </c>
      <c r="S286" s="7" t="s">
        <v>1824</v>
      </c>
    </row>
    <row r="287" spans="1:19" x14ac:dyDescent="0.35">
      <c r="A287" s="6">
        <v>11011466</v>
      </c>
      <c r="B287" s="5" t="s">
        <v>321</v>
      </c>
      <c r="C287" s="5" t="s">
        <v>163</v>
      </c>
      <c r="D287" s="5" t="s">
        <v>228</v>
      </c>
      <c r="E287" s="5" t="s">
        <v>133</v>
      </c>
      <c r="F287" s="5" t="s">
        <v>1821</v>
      </c>
      <c r="G287" s="5"/>
      <c r="H287" s="5">
        <v>1495</v>
      </c>
      <c r="I287" s="5" t="s">
        <v>319</v>
      </c>
      <c r="J287" s="5" t="s">
        <v>212</v>
      </c>
      <c r="K287" s="5">
        <v>4.3</v>
      </c>
      <c r="L287" s="5">
        <v>944</v>
      </c>
      <c r="M287" s="5">
        <v>0.57999999999999996</v>
      </c>
      <c r="N287" s="5">
        <v>1790.0851063829789</v>
      </c>
      <c r="O287" s="5"/>
      <c r="P287" s="5" t="s">
        <v>212</v>
      </c>
      <c r="Q287" s="5" t="s">
        <v>55</v>
      </c>
      <c r="R287" s="5" t="s">
        <v>129</v>
      </c>
      <c r="S287" s="7" t="s">
        <v>1822</v>
      </c>
    </row>
    <row r="288" spans="1:19" x14ac:dyDescent="0.35">
      <c r="A288" s="6">
        <v>9740129</v>
      </c>
      <c r="B288" s="5" t="s">
        <v>250</v>
      </c>
      <c r="C288" s="5" t="s">
        <v>163</v>
      </c>
      <c r="D288" s="5" t="s">
        <v>77</v>
      </c>
      <c r="E288" s="5" t="s">
        <v>133</v>
      </c>
      <c r="F288" s="5" t="s">
        <v>359</v>
      </c>
      <c r="G288" s="5"/>
      <c r="H288" s="5">
        <v>599</v>
      </c>
      <c r="I288" s="5" t="s">
        <v>209</v>
      </c>
      <c r="J288" s="5" t="s">
        <v>192</v>
      </c>
      <c r="K288" s="5">
        <v>4.0999999999999996</v>
      </c>
      <c r="L288" s="5">
        <v>944</v>
      </c>
      <c r="M288" s="5">
        <v>0.5</v>
      </c>
      <c r="N288" s="5">
        <v>1790.0851063829789</v>
      </c>
      <c r="O288" s="5"/>
      <c r="P288" s="5" t="s">
        <v>192</v>
      </c>
      <c r="Q288" s="5" t="s">
        <v>57</v>
      </c>
      <c r="R288" s="5" t="s">
        <v>129</v>
      </c>
      <c r="S288" s="7" t="s">
        <v>1820</v>
      </c>
    </row>
    <row r="289" spans="1:19" x14ac:dyDescent="0.35">
      <c r="A289" s="6">
        <v>2308268</v>
      </c>
      <c r="B289" s="5" t="s">
        <v>250</v>
      </c>
      <c r="C289" s="5" t="s">
        <v>142</v>
      </c>
      <c r="D289" s="5" t="s">
        <v>77</v>
      </c>
      <c r="E289" s="5" t="s">
        <v>140</v>
      </c>
      <c r="F289" s="5" t="s">
        <v>1818</v>
      </c>
      <c r="G289" s="5">
        <v>299</v>
      </c>
      <c r="H289" s="5">
        <v>599</v>
      </c>
      <c r="I289" s="5" t="s">
        <v>209</v>
      </c>
      <c r="J289" s="5" t="s">
        <v>458</v>
      </c>
      <c r="K289" s="5">
        <v>4</v>
      </c>
      <c r="L289" s="5">
        <v>943</v>
      </c>
      <c r="M289" s="5">
        <v>0.5</v>
      </c>
      <c r="N289" s="5">
        <v>1138.6340612208289</v>
      </c>
      <c r="O289" s="5">
        <v>299</v>
      </c>
      <c r="P289" s="5" t="s">
        <v>458</v>
      </c>
      <c r="Q289" s="5" t="s">
        <v>57</v>
      </c>
      <c r="R289" s="5" t="s">
        <v>129</v>
      </c>
      <c r="S289" s="7" t="s">
        <v>1819</v>
      </c>
    </row>
    <row r="290" spans="1:19" x14ac:dyDescent="0.35">
      <c r="A290" s="6">
        <v>13038032</v>
      </c>
      <c r="B290" s="5" t="s">
        <v>744</v>
      </c>
      <c r="C290" s="5" t="s">
        <v>273</v>
      </c>
      <c r="D290" s="5" t="s">
        <v>442</v>
      </c>
      <c r="E290" s="5" t="s">
        <v>133</v>
      </c>
      <c r="F290" s="5" t="s">
        <v>1816</v>
      </c>
      <c r="G290" s="5"/>
      <c r="H290" s="5">
        <v>729</v>
      </c>
      <c r="I290" s="5"/>
      <c r="J290" s="5" t="s">
        <v>150</v>
      </c>
      <c r="K290" s="5">
        <v>4.3</v>
      </c>
      <c r="L290" s="5">
        <v>943</v>
      </c>
      <c r="M290" s="5"/>
      <c r="N290" s="5">
        <v>811.90284167198604</v>
      </c>
      <c r="O290" s="5">
        <v>811.90284167198604</v>
      </c>
      <c r="P290" s="5" t="s">
        <v>150</v>
      </c>
      <c r="Q290" s="5" t="s">
        <v>57</v>
      </c>
      <c r="R290" s="5" t="s">
        <v>129</v>
      </c>
      <c r="S290" s="7" t="s">
        <v>1817</v>
      </c>
    </row>
    <row r="291" spans="1:19" x14ac:dyDescent="0.35">
      <c r="A291" s="6">
        <v>3452046</v>
      </c>
      <c r="B291" s="5" t="s">
        <v>807</v>
      </c>
      <c r="C291" s="5" t="s">
        <v>163</v>
      </c>
      <c r="D291" s="5" t="s">
        <v>1677</v>
      </c>
      <c r="E291" s="5" t="s">
        <v>133</v>
      </c>
      <c r="F291" s="5" t="s">
        <v>1814</v>
      </c>
      <c r="G291" s="5"/>
      <c r="H291" s="5">
        <v>1494</v>
      </c>
      <c r="I291" s="5" t="s">
        <v>209</v>
      </c>
      <c r="J291" s="5" t="s">
        <v>212</v>
      </c>
      <c r="K291" s="5">
        <v>4.2</v>
      </c>
      <c r="L291" s="5">
        <v>943</v>
      </c>
      <c r="M291" s="5">
        <v>0.5</v>
      </c>
      <c r="N291" s="5">
        <v>1790.0851063829789</v>
      </c>
      <c r="O291" s="5"/>
      <c r="P291" s="5" t="s">
        <v>212</v>
      </c>
      <c r="Q291" s="5" t="s">
        <v>57</v>
      </c>
      <c r="R291" s="5" t="s">
        <v>129</v>
      </c>
      <c r="S291" s="7" t="s">
        <v>1815</v>
      </c>
    </row>
    <row r="292" spans="1:19" x14ac:dyDescent="0.35">
      <c r="A292" s="6">
        <v>14180702</v>
      </c>
      <c r="B292" s="5" t="s">
        <v>1579</v>
      </c>
      <c r="C292" s="5" t="s">
        <v>142</v>
      </c>
      <c r="D292" s="5" t="s">
        <v>493</v>
      </c>
      <c r="E292" s="5" t="s">
        <v>140</v>
      </c>
      <c r="F292" s="5" t="s">
        <v>1812</v>
      </c>
      <c r="G292" s="5">
        <v>1104</v>
      </c>
      <c r="H292" s="5">
        <v>1299</v>
      </c>
      <c r="I292" s="5" t="s">
        <v>1307</v>
      </c>
      <c r="J292" s="5" t="s">
        <v>150</v>
      </c>
      <c r="K292" s="5">
        <v>4</v>
      </c>
      <c r="L292" s="5">
        <v>942</v>
      </c>
      <c r="M292" s="5">
        <v>0.15</v>
      </c>
      <c r="N292" s="5">
        <v>1138.6340612208289</v>
      </c>
      <c r="O292" s="5">
        <v>1104</v>
      </c>
      <c r="P292" s="5" t="s">
        <v>150</v>
      </c>
      <c r="Q292" s="5" t="s">
        <v>57</v>
      </c>
      <c r="R292" s="5" t="s">
        <v>129</v>
      </c>
      <c r="S292" s="7" t="s">
        <v>1813</v>
      </c>
    </row>
    <row r="293" spans="1:19" x14ac:dyDescent="0.35">
      <c r="A293" s="6">
        <v>2306179</v>
      </c>
      <c r="B293" s="5" t="s">
        <v>250</v>
      </c>
      <c r="C293" s="5" t="s">
        <v>142</v>
      </c>
      <c r="D293" s="5" t="s">
        <v>77</v>
      </c>
      <c r="E293" s="5" t="s">
        <v>140</v>
      </c>
      <c r="F293" s="5" t="s">
        <v>1810</v>
      </c>
      <c r="G293" s="5">
        <v>389</v>
      </c>
      <c r="H293" s="5">
        <v>599</v>
      </c>
      <c r="I293" s="5" t="s">
        <v>205</v>
      </c>
      <c r="J293" s="5" t="s">
        <v>192</v>
      </c>
      <c r="K293" s="5">
        <v>4</v>
      </c>
      <c r="L293" s="5">
        <v>942</v>
      </c>
      <c r="M293" s="5">
        <v>0.35</v>
      </c>
      <c r="N293" s="5">
        <v>1138.6340612208289</v>
      </c>
      <c r="O293" s="5">
        <v>389</v>
      </c>
      <c r="P293" s="5" t="s">
        <v>192</v>
      </c>
      <c r="Q293" s="5" t="s">
        <v>57</v>
      </c>
      <c r="R293" s="5" t="s">
        <v>129</v>
      </c>
      <c r="S293" s="7" t="s">
        <v>1811</v>
      </c>
    </row>
    <row r="294" spans="1:19" x14ac:dyDescent="0.35">
      <c r="A294" s="6">
        <v>5842092</v>
      </c>
      <c r="B294" s="5" t="s">
        <v>152</v>
      </c>
      <c r="C294" s="5" t="s">
        <v>75</v>
      </c>
      <c r="D294" s="5" t="s">
        <v>568</v>
      </c>
      <c r="E294" s="5" t="s">
        <v>133</v>
      </c>
      <c r="F294" s="5" t="s">
        <v>1808</v>
      </c>
      <c r="G294" s="5">
        <v>599</v>
      </c>
      <c r="H294" s="5">
        <v>1199</v>
      </c>
      <c r="I294" s="5" t="s">
        <v>209</v>
      </c>
      <c r="J294" s="5" t="s">
        <v>196</v>
      </c>
      <c r="K294" s="5">
        <v>4.0999999999999996</v>
      </c>
      <c r="L294" s="5">
        <v>942</v>
      </c>
      <c r="M294" s="5">
        <v>0.5</v>
      </c>
      <c r="N294" s="5">
        <v>1097.3783736315199</v>
      </c>
      <c r="O294" s="5">
        <v>599</v>
      </c>
      <c r="P294" s="5" t="s">
        <v>196</v>
      </c>
      <c r="Q294" s="5" t="s">
        <v>57</v>
      </c>
      <c r="R294" s="5" t="s">
        <v>129</v>
      </c>
      <c r="S294" s="7" t="s">
        <v>1809</v>
      </c>
    </row>
    <row r="295" spans="1:19" x14ac:dyDescent="0.35">
      <c r="A295" s="6">
        <v>10778646</v>
      </c>
      <c r="B295" s="5" t="s">
        <v>250</v>
      </c>
      <c r="C295" s="5" t="s">
        <v>163</v>
      </c>
      <c r="D295" s="5" t="s">
        <v>77</v>
      </c>
      <c r="E295" s="5" t="s">
        <v>133</v>
      </c>
      <c r="F295" s="5" t="s">
        <v>1806</v>
      </c>
      <c r="G295" s="5"/>
      <c r="H295" s="5">
        <v>599</v>
      </c>
      <c r="I295" s="5" t="s">
        <v>178</v>
      </c>
      <c r="J295" s="5" t="s">
        <v>192</v>
      </c>
      <c r="K295" s="5">
        <v>4.3</v>
      </c>
      <c r="L295" s="5">
        <v>942</v>
      </c>
      <c r="M295" s="5">
        <v>0.55000000000000004</v>
      </c>
      <c r="N295" s="5">
        <v>1790.0851063829789</v>
      </c>
      <c r="O295" s="5"/>
      <c r="P295" s="5" t="s">
        <v>192</v>
      </c>
      <c r="Q295" s="5" t="s">
        <v>55</v>
      </c>
      <c r="R295" s="5" t="s">
        <v>129</v>
      </c>
      <c r="S295" s="7" t="s">
        <v>1807</v>
      </c>
    </row>
    <row r="296" spans="1:19" x14ac:dyDescent="0.35">
      <c r="A296" s="6">
        <v>11354536</v>
      </c>
      <c r="B296" s="5" t="s">
        <v>355</v>
      </c>
      <c r="C296" s="5" t="s">
        <v>156</v>
      </c>
      <c r="D296" s="5" t="s">
        <v>442</v>
      </c>
      <c r="E296" s="5" t="s">
        <v>140</v>
      </c>
      <c r="F296" s="5" t="s">
        <v>1804</v>
      </c>
      <c r="G296" s="5">
        <v>492</v>
      </c>
      <c r="H296" s="5">
        <v>518</v>
      </c>
      <c r="I296" s="5" t="s">
        <v>594</v>
      </c>
      <c r="J296" s="5" t="s">
        <v>352</v>
      </c>
      <c r="K296" s="5">
        <v>4.3</v>
      </c>
      <c r="L296" s="5">
        <v>941</v>
      </c>
      <c r="M296" s="5">
        <v>0.05</v>
      </c>
      <c r="N296" s="5">
        <v>691.83976143141149</v>
      </c>
      <c r="O296" s="5">
        <v>492</v>
      </c>
      <c r="P296" s="5" t="s">
        <v>352</v>
      </c>
      <c r="Q296" s="5" t="s">
        <v>57</v>
      </c>
      <c r="R296" s="5" t="s">
        <v>129</v>
      </c>
      <c r="S296" s="7" t="s">
        <v>1805</v>
      </c>
    </row>
    <row r="297" spans="1:19" x14ac:dyDescent="0.35">
      <c r="A297" s="6">
        <v>12015554</v>
      </c>
      <c r="B297" s="5" t="s">
        <v>1802</v>
      </c>
      <c r="C297" s="5" t="s">
        <v>135</v>
      </c>
      <c r="D297" s="5" t="s">
        <v>168</v>
      </c>
      <c r="E297" s="5" t="s">
        <v>133</v>
      </c>
      <c r="F297" s="5" t="s">
        <v>1801</v>
      </c>
      <c r="G297" s="5">
        <v>1639</v>
      </c>
      <c r="H297" s="5">
        <v>3999</v>
      </c>
      <c r="I297" s="5" t="s">
        <v>160</v>
      </c>
      <c r="J297" s="5" t="s">
        <v>150</v>
      </c>
      <c r="K297" s="5">
        <v>4.5</v>
      </c>
      <c r="L297" s="5">
        <v>941</v>
      </c>
      <c r="M297" s="5">
        <v>0.59</v>
      </c>
      <c r="N297" s="5">
        <v>1493.337491012077</v>
      </c>
      <c r="O297" s="5">
        <v>1639</v>
      </c>
      <c r="P297" s="5" t="s">
        <v>150</v>
      </c>
      <c r="Q297" s="5" t="s">
        <v>55</v>
      </c>
      <c r="R297" s="5" t="s">
        <v>129</v>
      </c>
      <c r="S297" s="7" t="s">
        <v>1803</v>
      </c>
    </row>
    <row r="298" spans="1:19" x14ac:dyDescent="0.35">
      <c r="A298" s="6">
        <v>12762116</v>
      </c>
      <c r="B298" s="5" t="s">
        <v>752</v>
      </c>
      <c r="C298" s="5" t="s">
        <v>163</v>
      </c>
      <c r="D298" s="5" t="s">
        <v>228</v>
      </c>
      <c r="E298" s="5" t="s">
        <v>133</v>
      </c>
      <c r="F298" s="5" t="s">
        <v>1799</v>
      </c>
      <c r="G298" s="5"/>
      <c r="H298" s="5">
        <v>1699</v>
      </c>
      <c r="I298" s="5" t="s">
        <v>160</v>
      </c>
      <c r="J298" s="5" t="s">
        <v>150</v>
      </c>
      <c r="K298" s="5">
        <v>4</v>
      </c>
      <c r="L298" s="5">
        <v>941</v>
      </c>
      <c r="M298" s="5">
        <v>0.59</v>
      </c>
      <c r="N298" s="5">
        <v>1790.0851063829789</v>
      </c>
      <c r="O298" s="5"/>
      <c r="P298" s="5" t="s">
        <v>150</v>
      </c>
      <c r="Q298" s="5" t="s">
        <v>55</v>
      </c>
      <c r="R298" s="5" t="s">
        <v>129</v>
      </c>
      <c r="S298" s="7" t="s">
        <v>1800</v>
      </c>
    </row>
    <row r="299" spans="1:19" x14ac:dyDescent="0.35">
      <c r="A299" s="6">
        <v>10728896</v>
      </c>
      <c r="B299" s="5" t="s">
        <v>1797</v>
      </c>
      <c r="C299" s="5" t="s">
        <v>163</v>
      </c>
      <c r="D299" s="5" t="s">
        <v>162</v>
      </c>
      <c r="E299" s="5" t="s">
        <v>133</v>
      </c>
      <c r="F299" s="5" t="s">
        <v>1796</v>
      </c>
      <c r="G299" s="5"/>
      <c r="H299" s="5">
        <v>2399</v>
      </c>
      <c r="I299" s="5" t="s">
        <v>209</v>
      </c>
      <c r="J299" s="5" t="s">
        <v>505</v>
      </c>
      <c r="K299" s="5">
        <v>4.2</v>
      </c>
      <c r="L299" s="5">
        <v>941</v>
      </c>
      <c r="M299" s="5">
        <v>0.5</v>
      </c>
      <c r="N299" s="5">
        <v>1790.0851063829789</v>
      </c>
      <c r="O299" s="5"/>
      <c r="P299" s="5" t="s">
        <v>505</v>
      </c>
      <c r="Q299" s="5" t="s">
        <v>57</v>
      </c>
      <c r="R299" s="5" t="s">
        <v>129</v>
      </c>
      <c r="S299" s="7" t="s">
        <v>1798</v>
      </c>
    </row>
    <row r="300" spans="1:19" x14ac:dyDescent="0.35">
      <c r="A300" s="6">
        <v>10617882</v>
      </c>
      <c r="B300" s="5" t="s">
        <v>250</v>
      </c>
      <c r="C300" s="5" t="s">
        <v>142</v>
      </c>
      <c r="D300" s="5" t="s">
        <v>493</v>
      </c>
      <c r="E300" s="5" t="s">
        <v>140</v>
      </c>
      <c r="F300" s="5" t="s">
        <v>1794</v>
      </c>
      <c r="G300" s="5"/>
      <c r="H300" s="5">
        <v>1349</v>
      </c>
      <c r="I300" s="5"/>
      <c r="J300" s="5" t="s">
        <v>391</v>
      </c>
      <c r="K300" s="5">
        <v>4</v>
      </c>
      <c r="L300" s="5">
        <v>940</v>
      </c>
      <c r="M300" s="5"/>
      <c r="N300" s="5">
        <v>1138.6340612208289</v>
      </c>
      <c r="O300" s="5">
        <v>1138.6340612208289</v>
      </c>
      <c r="P300" s="5" t="s">
        <v>391</v>
      </c>
      <c r="Q300" s="5" t="s">
        <v>57</v>
      </c>
      <c r="R300" s="5" t="s">
        <v>129</v>
      </c>
      <c r="S300" s="7" t="s">
        <v>1795</v>
      </c>
    </row>
    <row r="301" spans="1:19" x14ac:dyDescent="0.35">
      <c r="A301" s="6">
        <v>2521064</v>
      </c>
      <c r="B301" s="5" t="s">
        <v>200</v>
      </c>
      <c r="C301" s="5" t="s">
        <v>163</v>
      </c>
      <c r="D301" s="5" t="s">
        <v>228</v>
      </c>
      <c r="E301" s="5" t="s">
        <v>133</v>
      </c>
      <c r="F301" s="5" t="s">
        <v>1792</v>
      </c>
      <c r="G301" s="5"/>
      <c r="H301" s="5">
        <v>1999</v>
      </c>
      <c r="I301" s="5" t="s">
        <v>223</v>
      </c>
      <c r="J301" s="5" t="s">
        <v>192</v>
      </c>
      <c r="K301" s="5">
        <v>4.2</v>
      </c>
      <c r="L301" s="5">
        <v>940</v>
      </c>
      <c r="M301" s="5">
        <v>0.6</v>
      </c>
      <c r="N301" s="5">
        <v>1790.0851063829789</v>
      </c>
      <c r="O301" s="5"/>
      <c r="P301" s="5" t="s">
        <v>192</v>
      </c>
      <c r="Q301" s="5" t="s">
        <v>55</v>
      </c>
      <c r="R301" s="5" t="s">
        <v>129</v>
      </c>
      <c r="S301" s="7" t="s">
        <v>1793</v>
      </c>
    </row>
    <row r="302" spans="1:19" x14ac:dyDescent="0.35">
      <c r="A302" s="6">
        <v>2414666</v>
      </c>
      <c r="B302" s="5" t="s">
        <v>397</v>
      </c>
      <c r="C302" s="5" t="s">
        <v>163</v>
      </c>
      <c r="D302" s="5" t="s">
        <v>77</v>
      </c>
      <c r="E302" s="5" t="s">
        <v>133</v>
      </c>
      <c r="F302" s="5" t="s">
        <v>1790</v>
      </c>
      <c r="G302" s="5"/>
      <c r="H302" s="5">
        <v>799</v>
      </c>
      <c r="I302" s="5" t="s">
        <v>36</v>
      </c>
      <c r="J302" s="5" t="s">
        <v>192</v>
      </c>
      <c r="K302" s="5">
        <v>4.0999999999999996</v>
      </c>
      <c r="L302" s="5">
        <v>940</v>
      </c>
      <c r="M302" s="5">
        <v>0.45</v>
      </c>
      <c r="N302" s="5">
        <v>1790.0851063829789</v>
      </c>
      <c r="O302" s="5"/>
      <c r="P302" s="5" t="s">
        <v>192</v>
      </c>
      <c r="Q302" s="5" t="s">
        <v>57</v>
      </c>
      <c r="R302" s="5" t="s">
        <v>129</v>
      </c>
      <c r="S302" s="7" t="s">
        <v>1791</v>
      </c>
    </row>
    <row r="303" spans="1:19" x14ac:dyDescent="0.35">
      <c r="A303" s="6">
        <v>13453596</v>
      </c>
      <c r="B303" s="5" t="s">
        <v>164</v>
      </c>
      <c r="C303" s="5" t="s">
        <v>163</v>
      </c>
      <c r="D303" s="5" t="s">
        <v>194</v>
      </c>
      <c r="E303" s="5" t="s">
        <v>133</v>
      </c>
      <c r="F303" s="5" t="s">
        <v>1788</v>
      </c>
      <c r="G303" s="5"/>
      <c r="H303" s="5">
        <v>849</v>
      </c>
      <c r="I303" s="5" t="s">
        <v>160</v>
      </c>
      <c r="J303" s="5" t="s">
        <v>212</v>
      </c>
      <c r="K303" s="5">
        <v>4.3</v>
      </c>
      <c r="L303" s="5">
        <v>940</v>
      </c>
      <c r="M303" s="5">
        <v>0.59</v>
      </c>
      <c r="N303" s="5">
        <v>1790.0851063829789</v>
      </c>
      <c r="O303" s="5"/>
      <c r="P303" s="5" t="s">
        <v>212</v>
      </c>
      <c r="Q303" s="5" t="s">
        <v>55</v>
      </c>
      <c r="R303" s="5" t="s">
        <v>129</v>
      </c>
      <c r="S303" s="7" t="s">
        <v>1789</v>
      </c>
    </row>
    <row r="304" spans="1:19" x14ac:dyDescent="0.35">
      <c r="A304" s="6">
        <v>14014788</v>
      </c>
      <c r="B304" s="5" t="s">
        <v>190</v>
      </c>
      <c r="C304" s="5" t="s">
        <v>189</v>
      </c>
      <c r="D304" s="5" t="s">
        <v>199</v>
      </c>
      <c r="E304" s="5" t="s">
        <v>140</v>
      </c>
      <c r="F304" s="5" t="s">
        <v>1786</v>
      </c>
      <c r="G304" s="5">
        <v>512</v>
      </c>
      <c r="H304" s="5">
        <v>899</v>
      </c>
      <c r="I304" s="5" t="s">
        <v>1748</v>
      </c>
      <c r="J304" s="5" t="s">
        <v>212</v>
      </c>
      <c r="K304" s="5">
        <v>4</v>
      </c>
      <c r="L304" s="5">
        <v>939</v>
      </c>
      <c r="M304" s="5">
        <v>0.43</v>
      </c>
      <c r="N304" s="5">
        <v>1351.2078667815099</v>
      </c>
      <c r="O304" s="5">
        <v>512</v>
      </c>
      <c r="P304" s="5" t="s">
        <v>212</v>
      </c>
      <c r="Q304" s="5" t="s">
        <v>57</v>
      </c>
      <c r="R304" s="5" t="s">
        <v>129</v>
      </c>
      <c r="S304" s="7" t="s">
        <v>1787</v>
      </c>
    </row>
    <row r="305" spans="1:19" x14ac:dyDescent="0.35">
      <c r="A305" s="6">
        <v>15228444</v>
      </c>
      <c r="B305" s="5" t="s">
        <v>190</v>
      </c>
      <c r="C305" s="5" t="s">
        <v>189</v>
      </c>
      <c r="D305" s="5" t="s">
        <v>162</v>
      </c>
      <c r="E305" s="5" t="s">
        <v>140</v>
      </c>
      <c r="F305" s="5" t="s">
        <v>1784</v>
      </c>
      <c r="G305" s="5">
        <v>657</v>
      </c>
      <c r="H305" s="5">
        <v>1399</v>
      </c>
      <c r="I305" s="5" t="s">
        <v>381</v>
      </c>
      <c r="J305" s="5" t="s">
        <v>380</v>
      </c>
      <c r="K305" s="5">
        <v>3.8</v>
      </c>
      <c r="L305" s="5">
        <v>939</v>
      </c>
      <c r="M305" s="5">
        <v>0.53</v>
      </c>
      <c r="N305" s="5">
        <v>1351.2078667815099</v>
      </c>
      <c r="O305" s="5">
        <v>657</v>
      </c>
      <c r="P305" s="5" t="s">
        <v>380</v>
      </c>
      <c r="Q305" s="5" t="s">
        <v>55</v>
      </c>
      <c r="R305" s="5" t="s">
        <v>129</v>
      </c>
      <c r="S305" s="7" t="s">
        <v>1785</v>
      </c>
    </row>
    <row r="306" spans="1:19" x14ac:dyDescent="0.35">
      <c r="A306" s="6">
        <v>11012510</v>
      </c>
      <c r="B306" s="5" t="s">
        <v>321</v>
      </c>
      <c r="C306" s="5" t="s">
        <v>163</v>
      </c>
      <c r="D306" s="5" t="s">
        <v>806</v>
      </c>
      <c r="E306" s="5" t="s">
        <v>133</v>
      </c>
      <c r="F306" s="5" t="s">
        <v>1782</v>
      </c>
      <c r="G306" s="5"/>
      <c r="H306" s="5">
        <v>1195</v>
      </c>
      <c r="I306" s="5" t="s">
        <v>319</v>
      </c>
      <c r="J306" s="5" t="s">
        <v>212</v>
      </c>
      <c r="K306" s="5">
        <v>4.2</v>
      </c>
      <c r="L306" s="5">
        <v>939</v>
      </c>
      <c r="M306" s="5">
        <v>0.57999999999999996</v>
      </c>
      <c r="N306" s="5">
        <v>1790.0851063829789</v>
      </c>
      <c r="O306" s="5"/>
      <c r="P306" s="5" t="s">
        <v>212</v>
      </c>
      <c r="Q306" s="5" t="s">
        <v>55</v>
      </c>
      <c r="R306" s="5" t="s">
        <v>129</v>
      </c>
      <c r="S306" s="7" t="s">
        <v>1783</v>
      </c>
    </row>
    <row r="307" spans="1:19" x14ac:dyDescent="0.35">
      <c r="A307" s="6">
        <v>1802098</v>
      </c>
      <c r="B307" s="5" t="s">
        <v>339</v>
      </c>
      <c r="C307" s="5" t="s">
        <v>163</v>
      </c>
      <c r="D307" s="5" t="s">
        <v>162</v>
      </c>
      <c r="E307" s="5" t="s">
        <v>133</v>
      </c>
      <c r="F307" s="5" t="s">
        <v>1780</v>
      </c>
      <c r="G307" s="5"/>
      <c r="H307" s="5">
        <v>1499</v>
      </c>
      <c r="I307" s="5" t="s">
        <v>178</v>
      </c>
      <c r="J307" s="5" t="s">
        <v>222</v>
      </c>
      <c r="K307" s="5">
        <v>3.8</v>
      </c>
      <c r="L307" s="5">
        <v>939</v>
      </c>
      <c r="M307" s="5">
        <v>0.55000000000000004</v>
      </c>
      <c r="N307" s="5">
        <v>1790.0851063829789</v>
      </c>
      <c r="O307" s="5"/>
      <c r="P307" s="5" t="s">
        <v>222</v>
      </c>
      <c r="Q307" s="5" t="s">
        <v>55</v>
      </c>
      <c r="R307" s="5" t="s">
        <v>129</v>
      </c>
      <c r="S307" s="7" t="s">
        <v>1781</v>
      </c>
    </row>
    <row r="308" spans="1:19" x14ac:dyDescent="0.35">
      <c r="A308" s="6">
        <v>10845288</v>
      </c>
      <c r="B308" s="5" t="s">
        <v>164</v>
      </c>
      <c r="C308" s="5" t="s">
        <v>163</v>
      </c>
      <c r="D308" s="5" t="s">
        <v>228</v>
      </c>
      <c r="E308" s="5" t="s">
        <v>133</v>
      </c>
      <c r="F308" s="5" t="s">
        <v>1778</v>
      </c>
      <c r="G308" s="5"/>
      <c r="H308" s="5">
        <v>2199</v>
      </c>
      <c r="I308" s="5" t="s">
        <v>186</v>
      </c>
      <c r="J308" s="5" t="s">
        <v>212</v>
      </c>
      <c r="K308" s="5">
        <v>4.3</v>
      </c>
      <c r="L308" s="5">
        <v>939</v>
      </c>
      <c r="M308" s="5">
        <v>0.61</v>
      </c>
      <c r="N308" s="5">
        <v>1790.0851063829789</v>
      </c>
      <c r="O308" s="5"/>
      <c r="P308" s="5" t="s">
        <v>212</v>
      </c>
      <c r="Q308" s="5" t="s">
        <v>55</v>
      </c>
      <c r="R308" s="5" t="s">
        <v>129</v>
      </c>
      <c r="S308" s="7" t="s">
        <v>1779</v>
      </c>
    </row>
    <row r="309" spans="1:19" x14ac:dyDescent="0.35">
      <c r="A309" s="6">
        <v>13709578</v>
      </c>
      <c r="B309" s="5" t="s">
        <v>540</v>
      </c>
      <c r="C309" s="5" t="s">
        <v>163</v>
      </c>
      <c r="D309" s="5" t="s">
        <v>228</v>
      </c>
      <c r="E309" s="5" t="s">
        <v>133</v>
      </c>
      <c r="F309" s="5" t="s">
        <v>1776</v>
      </c>
      <c r="G309" s="5"/>
      <c r="H309" s="5">
        <v>2699</v>
      </c>
      <c r="I309" s="5" t="s">
        <v>218</v>
      </c>
      <c r="J309" s="5" t="s">
        <v>196</v>
      </c>
      <c r="K309" s="5">
        <v>4.3</v>
      </c>
      <c r="L309" s="5">
        <v>939</v>
      </c>
      <c r="M309" s="5">
        <v>0.3</v>
      </c>
      <c r="N309" s="5">
        <v>1790.0851063829789</v>
      </c>
      <c r="O309" s="5"/>
      <c r="P309" s="5" t="s">
        <v>196</v>
      </c>
      <c r="Q309" s="5" t="s">
        <v>57</v>
      </c>
      <c r="R309" s="5" t="s">
        <v>129</v>
      </c>
      <c r="S309" s="7" t="s">
        <v>1777</v>
      </c>
    </row>
    <row r="310" spans="1:19" x14ac:dyDescent="0.35">
      <c r="A310" s="6">
        <v>8903777</v>
      </c>
      <c r="B310" s="5" t="s">
        <v>250</v>
      </c>
      <c r="C310" s="5" t="s">
        <v>189</v>
      </c>
      <c r="D310" s="5" t="s">
        <v>162</v>
      </c>
      <c r="E310" s="5" t="s">
        <v>140</v>
      </c>
      <c r="F310" s="5" t="s">
        <v>1774</v>
      </c>
      <c r="G310" s="5"/>
      <c r="H310" s="5">
        <v>2699</v>
      </c>
      <c r="I310" s="5"/>
      <c r="J310" s="5" t="s">
        <v>624</v>
      </c>
      <c r="K310" s="5">
        <v>3.4</v>
      </c>
      <c r="L310" s="5">
        <v>938</v>
      </c>
      <c r="M310" s="5"/>
      <c r="N310" s="5">
        <v>1351.2078667815099</v>
      </c>
      <c r="O310" s="5">
        <v>1351.2078667815099</v>
      </c>
      <c r="P310" s="5" t="s">
        <v>624</v>
      </c>
      <c r="Q310" s="5" t="s">
        <v>57</v>
      </c>
      <c r="R310" s="5" t="s">
        <v>129</v>
      </c>
      <c r="S310" s="7" t="s">
        <v>1775</v>
      </c>
    </row>
    <row r="311" spans="1:19" x14ac:dyDescent="0.35">
      <c r="A311" s="6">
        <v>5125962</v>
      </c>
      <c r="B311" s="5" t="s">
        <v>190</v>
      </c>
      <c r="C311" s="5" t="s">
        <v>189</v>
      </c>
      <c r="D311" s="5" t="s">
        <v>188</v>
      </c>
      <c r="E311" s="5" t="s">
        <v>140</v>
      </c>
      <c r="F311" s="5" t="s">
        <v>1772</v>
      </c>
      <c r="G311" s="5">
        <v>704</v>
      </c>
      <c r="H311" s="5">
        <v>1499</v>
      </c>
      <c r="I311" s="5" t="s">
        <v>381</v>
      </c>
      <c r="J311" s="5" t="s">
        <v>185</v>
      </c>
      <c r="K311" s="5">
        <v>4</v>
      </c>
      <c r="L311" s="5">
        <v>938</v>
      </c>
      <c r="M311" s="5">
        <v>0.53</v>
      </c>
      <c r="N311" s="5">
        <v>1351.2078667815099</v>
      </c>
      <c r="O311" s="5">
        <v>704</v>
      </c>
      <c r="P311" s="5" t="s">
        <v>185</v>
      </c>
      <c r="Q311" s="5" t="s">
        <v>55</v>
      </c>
      <c r="R311" s="5" t="s">
        <v>129</v>
      </c>
      <c r="S311" s="7" t="s">
        <v>1773</v>
      </c>
    </row>
    <row r="312" spans="1:19" x14ac:dyDescent="0.35">
      <c r="A312" s="6">
        <v>15193768</v>
      </c>
      <c r="B312" s="5" t="s">
        <v>717</v>
      </c>
      <c r="C312" s="5" t="s">
        <v>142</v>
      </c>
      <c r="D312" s="5" t="s">
        <v>215</v>
      </c>
      <c r="E312" s="5" t="s">
        <v>140</v>
      </c>
      <c r="F312" s="5" t="s">
        <v>1770</v>
      </c>
      <c r="G312" s="5"/>
      <c r="H312" s="5">
        <v>1499</v>
      </c>
      <c r="I312" s="5"/>
      <c r="J312" s="5" t="s">
        <v>196</v>
      </c>
      <c r="K312" s="5">
        <v>4.3</v>
      </c>
      <c r="L312" s="5">
        <v>938</v>
      </c>
      <c r="M312" s="5"/>
      <c r="N312" s="5">
        <v>1138.6340612208289</v>
      </c>
      <c r="O312" s="5">
        <v>1138.6340612208289</v>
      </c>
      <c r="P312" s="5" t="s">
        <v>196</v>
      </c>
      <c r="Q312" s="5" t="s">
        <v>57</v>
      </c>
      <c r="R312" s="5" t="s">
        <v>129</v>
      </c>
      <c r="S312" s="7" t="s">
        <v>1771</v>
      </c>
    </row>
    <row r="313" spans="1:19" x14ac:dyDescent="0.35">
      <c r="A313" s="6">
        <v>2388302</v>
      </c>
      <c r="B313" s="5" t="s">
        <v>250</v>
      </c>
      <c r="C313" s="5" t="s">
        <v>142</v>
      </c>
      <c r="D313" s="5" t="s">
        <v>77</v>
      </c>
      <c r="E313" s="5" t="s">
        <v>140</v>
      </c>
      <c r="F313" s="5" t="s">
        <v>1768</v>
      </c>
      <c r="G313" s="5"/>
      <c r="H313" s="5">
        <v>899</v>
      </c>
      <c r="I313" s="5"/>
      <c r="J313" s="5" t="s">
        <v>458</v>
      </c>
      <c r="K313" s="5">
        <v>4.2</v>
      </c>
      <c r="L313" s="5">
        <v>938</v>
      </c>
      <c r="M313" s="5"/>
      <c r="N313" s="5">
        <v>1138.6340612208289</v>
      </c>
      <c r="O313" s="5">
        <v>1138.6340612208289</v>
      </c>
      <c r="P313" s="5" t="s">
        <v>458</v>
      </c>
      <c r="Q313" s="5" t="s">
        <v>57</v>
      </c>
      <c r="R313" s="5" t="s">
        <v>129</v>
      </c>
      <c r="S313" s="7" t="s">
        <v>1769</v>
      </c>
    </row>
    <row r="314" spans="1:19" x14ac:dyDescent="0.35">
      <c r="A314" s="6">
        <v>11173950</v>
      </c>
      <c r="B314" s="5" t="s">
        <v>180</v>
      </c>
      <c r="C314" s="5" t="s">
        <v>135</v>
      </c>
      <c r="D314" s="5" t="s">
        <v>168</v>
      </c>
      <c r="E314" s="5" t="s">
        <v>133</v>
      </c>
      <c r="F314" s="5" t="s">
        <v>1766</v>
      </c>
      <c r="G314" s="5">
        <v>549</v>
      </c>
      <c r="H314" s="5">
        <v>1099</v>
      </c>
      <c r="I314" s="5" t="s">
        <v>209</v>
      </c>
      <c r="J314" s="5" t="s">
        <v>177</v>
      </c>
      <c r="K314" s="5">
        <v>4.3</v>
      </c>
      <c r="L314" s="5">
        <v>938</v>
      </c>
      <c r="M314" s="5">
        <v>0.5</v>
      </c>
      <c r="N314" s="5">
        <v>1493.337491012077</v>
      </c>
      <c r="O314" s="5">
        <v>549</v>
      </c>
      <c r="P314" s="5" t="s">
        <v>177</v>
      </c>
      <c r="Q314" s="5" t="s">
        <v>57</v>
      </c>
      <c r="R314" s="5" t="s">
        <v>129</v>
      </c>
      <c r="S314" s="7" t="s">
        <v>1767</v>
      </c>
    </row>
    <row r="315" spans="1:19" x14ac:dyDescent="0.35">
      <c r="A315" s="6">
        <v>14675114</v>
      </c>
      <c r="B315" s="5" t="s">
        <v>312</v>
      </c>
      <c r="C315" s="5" t="s">
        <v>135</v>
      </c>
      <c r="D315" s="5" t="s">
        <v>174</v>
      </c>
      <c r="E315" s="5" t="s">
        <v>133</v>
      </c>
      <c r="F315" s="5" t="s">
        <v>1764</v>
      </c>
      <c r="G315" s="5">
        <v>639</v>
      </c>
      <c r="H315" s="5">
        <v>1999</v>
      </c>
      <c r="I315" s="5" t="s">
        <v>891</v>
      </c>
      <c r="J315" s="5" t="s">
        <v>171</v>
      </c>
      <c r="K315" s="5">
        <v>4</v>
      </c>
      <c r="L315" s="5">
        <v>938</v>
      </c>
      <c r="M315" s="5">
        <v>0.68</v>
      </c>
      <c r="N315" s="5">
        <v>1493.337491012077</v>
      </c>
      <c r="O315" s="5">
        <v>639</v>
      </c>
      <c r="P315" s="5" t="s">
        <v>171</v>
      </c>
      <c r="Q315" s="5" t="s">
        <v>55</v>
      </c>
      <c r="R315" s="5" t="s">
        <v>129</v>
      </c>
      <c r="S315" s="7" t="s">
        <v>1765</v>
      </c>
    </row>
    <row r="316" spans="1:19" x14ac:dyDescent="0.35">
      <c r="A316" s="6">
        <v>1718905</v>
      </c>
      <c r="B316" s="5" t="s">
        <v>350</v>
      </c>
      <c r="C316" s="5" t="s">
        <v>163</v>
      </c>
      <c r="D316" s="5" t="s">
        <v>141</v>
      </c>
      <c r="E316" s="5" t="s">
        <v>133</v>
      </c>
      <c r="F316" s="5" t="s">
        <v>1762</v>
      </c>
      <c r="G316" s="5"/>
      <c r="H316" s="5">
        <v>1599</v>
      </c>
      <c r="I316" s="5" t="s">
        <v>178</v>
      </c>
      <c r="J316" s="5" t="s">
        <v>212</v>
      </c>
      <c r="K316" s="5">
        <v>4.2</v>
      </c>
      <c r="L316" s="5">
        <v>938</v>
      </c>
      <c r="M316" s="5">
        <v>0.55000000000000004</v>
      </c>
      <c r="N316" s="5">
        <v>1790.0851063829789</v>
      </c>
      <c r="O316" s="5"/>
      <c r="P316" s="5" t="s">
        <v>212</v>
      </c>
      <c r="Q316" s="5" t="s">
        <v>55</v>
      </c>
      <c r="R316" s="5" t="s">
        <v>129</v>
      </c>
      <c r="S316" s="7" t="s">
        <v>1763</v>
      </c>
    </row>
    <row r="317" spans="1:19" x14ac:dyDescent="0.35">
      <c r="A317" s="6">
        <v>10961164</v>
      </c>
      <c r="B317" s="5" t="s">
        <v>1760</v>
      </c>
      <c r="C317" s="5" t="s">
        <v>163</v>
      </c>
      <c r="D317" s="5" t="s">
        <v>1677</v>
      </c>
      <c r="E317" s="5" t="s">
        <v>133</v>
      </c>
      <c r="F317" s="5" t="s">
        <v>1759</v>
      </c>
      <c r="G317" s="5"/>
      <c r="H317" s="5">
        <v>2449</v>
      </c>
      <c r="I317" s="5" t="s">
        <v>223</v>
      </c>
      <c r="J317" s="5" t="s">
        <v>150</v>
      </c>
      <c r="K317" s="5">
        <v>4.0999999999999996</v>
      </c>
      <c r="L317" s="5">
        <v>938</v>
      </c>
      <c r="M317" s="5">
        <v>0.6</v>
      </c>
      <c r="N317" s="5">
        <v>1790.0851063829789</v>
      </c>
      <c r="O317" s="5"/>
      <c r="P317" s="5" t="s">
        <v>150</v>
      </c>
      <c r="Q317" s="5" t="s">
        <v>55</v>
      </c>
      <c r="R317" s="5" t="s">
        <v>129</v>
      </c>
      <c r="S317" s="7" t="s">
        <v>1761</v>
      </c>
    </row>
    <row r="318" spans="1:19" x14ac:dyDescent="0.35">
      <c r="A318" s="6">
        <v>7255260</v>
      </c>
      <c r="B318" s="5" t="s">
        <v>225</v>
      </c>
      <c r="C318" s="5" t="s">
        <v>189</v>
      </c>
      <c r="D318" s="5" t="s">
        <v>162</v>
      </c>
      <c r="E318" s="5" t="s">
        <v>140</v>
      </c>
      <c r="F318" s="5" t="s">
        <v>1757</v>
      </c>
      <c r="G318" s="5">
        <v>719</v>
      </c>
      <c r="H318" s="5">
        <v>1799</v>
      </c>
      <c r="I318" s="5" t="s">
        <v>223</v>
      </c>
      <c r="J318" s="5" t="s">
        <v>408</v>
      </c>
      <c r="K318" s="5">
        <v>3.9</v>
      </c>
      <c r="L318" s="5">
        <v>937</v>
      </c>
      <c r="M318" s="5">
        <v>0.6</v>
      </c>
      <c r="N318" s="5">
        <v>1351.2078667815099</v>
      </c>
      <c r="O318" s="5">
        <v>719</v>
      </c>
      <c r="P318" s="5" t="s">
        <v>408</v>
      </c>
      <c r="Q318" s="5" t="s">
        <v>55</v>
      </c>
      <c r="R318" s="5" t="s">
        <v>129</v>
      </c>
      <c r="S318" s="7" t="s">
        <v>1758</v>
      </c>
    </row>
    <row r="319" spans="1:19" x14ac:dyDescent="0.35">
      <c r="A319" s="6">
        <v>11404294</v>
      </c>
      <c r="B319" s="5" t="s">
        <v>250</v>
      </c>
      <c r="C319" s="5" t="s">
        <v>163</v>
      </c>
      <c r="D319" s="5" t="s">
        <v>77</v>
      </c>
      <c r="E319" s="5" t="s">
        <v>133</v>
      </c>
      <c r="F319" s="5" t="s">
        <v>1755</v>
      </c>
      <c r="G319" s="5"/>
      <c r="H319" s="5">
        <v>599</v>
      </c>
      <c r="I319" s="5" t="s">
        <v>209</v>
      </c>
      <c r="J319" s="5" t="s">
        <v>192</v>
      </c>
      <c r="K319" s="5">
        <v>4.3</v>
      </c>
      <c r="L319" s="5">
        <v>937</v>
      </c>
      <c r="M319" s="5">
        <v>0.5</v>
      </c>
      <c r="N319" s="5">
        <v>1790.0851063829789</v>
      </c>
      <c r="O319" s="5"/>
      <c r="P319" s="5" t="s">
        <v>192</v>
      </c>
      <c r="Q319" s="5" t="s">
        <v>57</v>
      </c>
      <c r="R319" s="5" t="s">
        <v>129</v>
      </c>
      <c r="S319" s="7" t="s">
        <v>1756</v>
      </c>
    </row>
    <row r="320" spans="1:19" x14ac:dyDescent="0.35">
      <c r="A320" s="6">
        <v>1866650</v>
      </c>
      <c r="B320" s="5" t="s">
        <v>152</v>
      </c>
      <c r="C320" s="5" t="s">
        <v>189</v>
      </c>
      <c r="D320" s="5" t="s">
        <v>199</v>
      </c>
      <c r="E320" s="5" t="s">
        <v>140</v>
      </c>
      <c r="F320" s="5" t="s">
        <v>1753</v>
      </c>
      <c r="G320" s="5">
        <v>599</v>
      </c>
      <c r="H320" s="5">
        <v>1499</v>
      </c>
      <c r="I320" s="5" t="s">
        <v>223</v>
      </c>
      <c r="J320" s="5" t="s">
        <v>150</v>
      </c>
      <c r="K320" s="5">
        <v>4</v>
      </c>
      <c r="L320" s="5">
        <v>936</v>
      </c>
      <c r="M320" s="5">
        <v>0.6</v>
      </c>
      <c r="N320" s="5">
        <v>1351.2078667815099</v>
      </c>
      <c r="O320" s="5">
        <v>599</v>
      </c>
      <c r="P320" s="5" t="s">
        <v>150</v>
      </c>
      <c r="Q320" s="5" t="s">
        <v>55</v>
      </c>
      <c r="R320" s="5" t="s">
        <v>129</v>
      </c>
      <c r="S320" s="7" t="s">
        <v>1754</v>
      </c>
    </row>
    <row r="321" spans="1:19" x14ac:dyDescent="0.35">
      <c r="A321" s="6">
        <v>1987411</v>
      </c>
      <c r="B321" s="5" t="s">
        <v>152</v>
      </c>
      <c r="C321" s="5" t="s">
        <v>75</v>
      </c>
      <c r="D321" s="5" t="s">
        <v>77</v>
      </c>
      <c r="E321" s="5" t="s">
        <v>140</v>
      </c>
      <c r="F321" s="5" t="s">
        <v>1751</v>
      </c>
      <c r="G321" s="5">
        <v>279</v>
      </c>
      <c r="H321" s="5">
        <v>699</v>
      </c>
      <c r="I321" s="5" t="s">
        <v>223</v>
      </c>
      <c r="J321" s="5" t="s">
        <v>150</v>
      </c>
      <c r="K321" s="5">
        <v>4.0999999999999996</v>
      </c>
      <c r="L321" s="5">
        <v>936</v>
      </c>
      <c r="M321" s="5">
        <v>0.6</v>
      </c>
      <c r="N321" s="5">
        <v>1097.3783736315199</v>
      </c>
      <c r="O321" s="5">
        <v>279</v>
      </c>
      <c r="P321" s="5" t="s">
        <v>150</v>
      </c>
      <c r="Q321" s="5" t="s">
        <v>55</v>
      </c>
      <c r="R321" s="5" t="s">
        <v>129</v>
      </c>
      <c r="S321" s="7" t="s">
        <v>1752</v>
      </c>
    </row>
    <row r="322" spans="1:19" x14ac:dyDescent="0.35">
      <c r="A322" s="6">
        <v>11044440</v>
      </c>
      <c r="B322" s="5" t="s">
        <v>190</v>
      </c>
      <c r="C322" s="5" t="s">
        <v>142</v>
      </c>
      <c r="D322" s="5" t="s">
        <v>141</v>
      </c>
      <c r="E322" s="5" t="s">
        <v>140</v>
      </c>
      <c r="F322" s="5" t="s">
        <v>1749</v>
      </c>
      <c r="G322" s="5">
        <v>683</v>
      </c>
      <c r="H322" s="5">
        <v>1199</v>
      </c>
      <c r="I322" s="5" t="s">
        <v>1748</v>
      </c>
      <c r="J322" s="5" t="s">
        <v>145</v>
      </c>
      <c r="K322" s="5">
        <v>4.0999999999999996</v>
      </c>
      <c r="L322" s="5">
        <v>936</v>
      </c>
      <c r="M322" s="5">
        <v>0.43</v>
      </c>
      <c r="N322" s="5">
        <v>1138.6340612208289</v>
      </c>
      <c r="O322" s="5">
        <v>683</v>
      </c>
      <c r="P322" s="5" t="s">
        <v>145</v>
      </c>
      <c r="Q322" s="5" t="s">
        <v>57</v>
      </c>
      <c r="R322" s="5" t="s">
        <v>129</v>
      </c>
      <c r="S322" s="7" t="s">
        <v>1750</v>
      </c>
    </row>
    <row r="323" spans="1:19" x14ac:dyDescent="0.35">
      <c r="A323" s="6">
        <v>10397849</v>
      </c>
      <c r="B323" s="5" t="s">
        <v>250</v>
      </c>
      <c r="C323" s="5" t="s">
        <v>142</v>
      </c>
      <c r="D323" s="5" t="s">
        <v>141</v>
      </c>
      <c r="E323" s="5" t="s">
        <v>140</v>
      </c>
      <c r="F323" s="5" t="s">
        <v>1746</v>
      </c>
      <c r="G323" s="5">
        <v>749</v>
      </c>
      <c r="H323" s="5">
        <v>1499</v>
      </c>
      <c r="I323" s="5" t="s">
        <v>209</v>
      </c>
      <c r="J323" s="5" t="s">
        <v>348</v>
      </c>
      <c r="K323" s="5">
        <v>4.4000000000000004</v>
      </c>
      <c r="L323" s="5">
        <v>936</v>
      </c>
      <c r="M323" s="5">
        <v>0.5</v>
      </c>
      <c r="N323" s="5">
        <v>1138.6340612208289</v>
      </c>
      <c r="O323" s="5">
        <v>749</v>
      </c>
      <c r="P323" s="5" t="s">
        <v>348</v>
      </c>
      <c r="Q323" s="5" t="s">
        <v>57</v>
      </c>
      <c r="R323" s="5" t="s">
        <v>129</v>
      </c>
      <c r="S323" s="7" t="s">
        <v>1747</v>
      </c>
    </row>
    <row r="324" spans="1:19" x14ac:dyDescent="0.35">
      <c r="A324" s="6">
        <v>9705197</v>
      </c>
      <c r="B324" s="5" t="s">
        <v>136</v>
      </c>
      <c r="C324" s="5" t="s">
        <v>235</v>
      </c>
      <c r="D324" s="5" t="s">
        <v>77</v>
      </c>
      <c r="E324" s="5" t="s">
        <v>133</v>
      </c>
      <c r="F324" s="5" t="s">
        <v>1744</v>
      </c>
      <c r="G324" s="5">
        <v>254</v>
      </c>
      <c r="H324" s="5">
        <v>849</v>
      </c>
      <c r="I324" s="5" t="s">
        <v>283</v>
      </c>
      <c r="J324" s="5" t="s">
        <v>177</v>
      </c>
      <c r="K324" s="5">
        <v>3.8</v>
      </c>
      <c r="L324" s="5">
        <v>936</v>
      </c>
      <c r="M324" s="5">
        <v>0.7</v>
      </c>
      <c r="N324" s="5">
        <v>923.69459774582197</v>
      </c>
      <c r="O324" s="5">
        <v>254</v>
      </c>
      <c r="P324" s="5" t="s">
        <v>177</v>
      </c>
      <c r="Q324" s="5" t="s">
        <v>55</v>
      </c>
      <c r="R324" s="5" t="s">
        <v>129</v>
      </c>
      <c r="S324" s="7" t="s">
        <v>1745</v>
      </c>
    </row>
    <row r="325" spans="1:19" x14ac:dyDescent="0.35">
      <c r="A325" s="6">
        <v>10463330</v>
      </c>
      <c r="B325" s="5" t="s">
        <v>819</v>
      </c>
      <c r="C325" s="5" t="s">
        <v>163</v>
      </c>
      <c r="D325" s="5" t="s">
        <v>188</v>
      </c>
      <c r="E325" s="5" t="s">
        <v>133</v>
      </c>
      <c r="F325" s="5" t="s">
        <v>1742</v>
      </c>
      <c r="G325" s="5"/>
      <c r="H325" s="5">
        <v>1899</v>
      </c>
      <c r="I325" s="5" t="s">
        <v>178</v>
      </c>
      <c r="J325" s="5" t="s">
        <v>159</v>
      </c>
      <c r="K325" s="5">
        <v>4.0999999999999996</v>
      </c>
      <c r="L325" s="5">
        <v>936</v>
      </c>
      <c r="M325" s="5">
        <v>0.55000000000000004</v>
      </c>
      <c r="N325" s="5">
        <v>1790.0851063829789</v>
      </c>
      <c r="O325" s="5"/>
      <c r="P325" s="5" t="s">
        <v>159</v>
      </c>
      <c r="Q325" s="5" t="s">
        <v>55</v>
      </c>
      <c r="R325" s="5" t="s">
        <v>129</v>
      </c>
      <c r="S325" s="7" t="s">
        <v>1743</v>
      </c>
    </row>
    <row r="326" spans="1:19" x14ac:dyDescent="0.35">
      <c r="A326" s="6">
        <v>12181796</v>
      </c>
      <c r="B326" s="5" t="s">
        <v>216</v>
      </c>
      <c r="C326" s="5" t="s">
        <v>163</v>
      </c>
      <c r="D326" s="5" t="s">
        <v>493</v>
      </c>
      <c r="E326" s="5" t="s">
        <v>133</v>
      </c>
      <c r="F326" s="5" t="s">
        <v>1740</v>
      </c>
      <c r="G326" s="5"/>
      <c r="H326" s="5">
        <v>3499</v>
      </c>
      <c r="I326" s="5" t="s">
        <v>223</v>
      </c>
      <c r="J326" s="5" t="s">
        <v>212</v>
      </c>
      <c r="K326" s="5">
        <v>3.9</v>
      </c>
      <c r="L326" s="5">
        <v>936</v>
      </c>
      <c r="M326" s="5">
        <v>0.6</v>
      </c>
      <c r="N326" s="5">
        <v>1790.0851063829789</v>
      </c>
      <c r="O326" s="5"/>
      <c r="P326" s="5" t="s">
        <v>212</v>
      </c>
      <c r="Q326" s="5" t="s">
        <v>55</v>
      </c>
      <c r="R326" s="5" t="s">
        <v>129</v>
      </c>
      <c r="S326" s="7" t="s">
        <v>1741</v>
      </c>
    </row>
    <row r="327" spans="1:19" x14ac:dyDescent="0.35">
      <c r="A327" s="6">
        <v>8325439</v>
      </c>
      <c r="B327" s="5" t="s">
        <v>225</v>
      </c>
      <c r="C327" s="5" t="s">
        <v>163</v>
      </c>
      <c r="D327" s="5" t="s">
        <v>77</v>
      </c>
      <c r="E327" s="5" t="s">
        <v>133</v>
      </c>
      <c r="F327" s="5" t="s">
        <v>1738</v>
      </c>
      <c r="G327" s="5"/>
      <c r="H327" s="5">
        <v>799</v>
      </c>
      <c r="I327" s="5" t="s">
        <v>1267</v>
      </c>
      <c r="J327" s="5" t="s">
        <v>192</v>
      </c>
      <c r="K327" s="5">
        <v>4.2</v>
      </c>
      <c r="L327" s="5">
        <v>936</v>
      </c>
      <c r="M327" s="5">
        <v>3</v>
      </c>
      <c r="N327" s="5">
        <v>1790.0851063829789</v>
      </c>
      <c r="O327" s="5"/>
      <c r="P327" s="5" t="s">
        <v>192</v>
      </c>
      <c r="Q327" s="5" t="s">
        <v>55</v>
      </c>
      <c r="R327" s="5" t="s">
        <v>129</v>
      </c>
      <c r="S327" s="7" t="s">
        <v>1739</v>
      </c>
    </row>
    <row r="328" spans="1:19" x14ac:dyDescent="0.35">
      <c r="A328" s="6">
        <v>12509638</v>
      </c>
      <c r="B328" s="5" t="s">
        <v>463</v>
      </c>
      <c r="C328" s="5" t="s">
        <v>135</v>
      </c>
      <c r="D328" s="5" t="s">
        <v>377</v>
      </c>
      <c r="E328" s="5" t="s">
        <v>133</v>
      </c>
      <c r="F328" s="5" t="s">
        <v>1736</v>
      </c>
      <c r="G328" s="5">
        <v>1519</v>
      </c>
      <c r="H328" s="5">
        <v>3799</v>
      </c>
      <c r="I328" s="5" t="s">
        <v>223</v>
      </c>
      <c r="J328" s="5" t="s">
        <v>150</v>
      </c>
      <c r="K328" s="5">
        <v>4.4000000000000004</v>
      </c>
      <c r="L328" s="5">
        <v>935</v>
      </c>
      <c r="M328" s="5">
        <v>0.6</v>
      </c>
      <c r="N328" s="5">
        <v>1493.337491012077</v>
      </c>
      <c r="O328" s="5">
        <v>1519</v>
      </c>
      <c r="P328" s="5" t="s">
        <v>150</v>
      </c>
      <c r="Q328" s="5" t="s">
        <v>55</v>
      </c>
      <c r="R328" s="5" t="s">
        <v>129</v>
      </c>
      <c r="S328" s="7" t="s">
        <v>1737</v>
      </c>
    </row>
    <row r="329" spans="1:19" x14ac:dyDescent="0.35">
      <c r="A329" s="6">
        <v>9371627</v>
      </c>
      <c r="B329" s="5" t="s">
        <v>180</v>
      </c>
      <c r="C329" s="5" t="s">
        <v>235</v>
      </c>
      <c r="D329" s="5" t="s">
        <v>168</v>
      </c>
      <c r="E329" s="5" t="s">
        <v>133</v>
      </c>
      <c r="F329" s="5" t="s">
        <v>1734</v>
      </c>
      <c r="G329" s="5">
        <v>389</v>
      </c>
      <c r="H329" s="5">
        <v>1299</v>
      </c>
      <c r="I329" s="5" t="s">
        <v>283</v>
      </c>
      <c r="J329" s="5" t="s">
        <v>177</v>
      </c>
      <c r="K329" s="5">
        <v>4.2</v>
      </c>
      <c r="L329" s="5">
        <v>935</v>
      </c>
      <c r="M329" s="5">
        <v>0.7</v>
      </c>
      <c r="N329" s="5">
        <v>923.69459774582197</v>
      </c>
      <c r="O329" s="5">
        <v>389</v>
      </c>
      <c r="P329" s="5" t="s">
        <v>177</v>
      </c>
      <c r="Q329" s="5" t="s">
        <v>55</v>
      </c>
      <c r="R329" s="5" t="s">
        <v>129</v>
      </c>
      <c r="S329" s="7" t="s">
        <v>1735</v>
      </c>
    </row>
    <row r="330" spans="1:19" x14ac:dyDescent="0.35">
      <c r="A330" s="6">
        <v>13437322</v>
      </c>
      <c r="B330" s="5" t="s">
        <v>180</v>
      </c>
      <c r="C330" s="5" t="s">
        <v>235</v>
      </c>
      <c r="D330" s="5" t="s">
        <v>168</v>
      </c>
      <c r="E330" s="5" t="s">
        <v>133</v>
      </c>
      <c r="F330" s="5" t="s">
        <v>1732</v>
      </c>
      <c r="G330" s="5">
        <v>519</v>
      </c>
      <c r="H330" s="5">
        <v>1299</v>
      </c>
      <c r="I330" s="5" t="s">
        <v>223</v>
      </c>
      <c r="J330" s="5" t="s">
        <v>177</v>
      </c>
      <c r="K330" s="5">
        <v>4.0999999999999996</v>
      </c>
      <c r="L330" s="5">
        <v>935</v>
      </c>
      <c r="M330" s="5">
        <v>0.6</v>
      </c>
      <c r="N330" s="5">
        <v>923.69459774582197</v>
      </c>
      <c r="O330" s="5">
        <v>519</v>
      </c>
      <c r="P330" s="5" t="s">
        <v>177</v>
      </c>
      <c r="Q330" s="5" t="s">
        <v>55</v>
      </c>
      <c r="R330" s="5" t="s">
        <v>129</v>
      </c>
      <c r="S330" s="7" t="s">
        <v>1733</v>
      </c>
    </row>
    <row r="331" spans="1:19" x14ac:dyDescent="0.35">
      <c r="A331" s="6">
        <v>10641868</v>
      </c>
      <c r="B331" s="5" t="s">
        <v>164</v>
      </c>
      <c r="C331" s="5" t="s">
        <v>163</v>
      </c>
      <c r="D331" s="5" t="s">
        <v>162</v>
      </c>
      <c r="E331" s="5" t="s">
        <v>133</v>
      </c>
      <c r="F331" s="5" t="s">
        <v>1730</v>
      </c>
      <c r="G331" s="5"/>
      <c r="H331" s="5">
        <v>1899</v>
      </c>
      <c r="I331" s="5" t="s">
        <v>213</v>
      </c>
      <c r="J331" s="5" t="s">
        <v>505</v>
      </c>
      <c r="K331" s="5">
        <v>3.9</v>
      </c>
      <c r="L331" s="5">
        <v>935</v>
      </c>
      <c r="M331" s="5">
        <v>0.56999999999999995</v>
      </c>
      <c r="N331" s="5">
        <v>1790.0851063829789</v>
      </c>
      <c r="O331" s="5"/>
      <c r="P331" s="5" t="s">
        <v>505</v>
      </c>
      <c r="Q331" s="5" t="s">
        <v>55</v>
      </c>
      <c r="R331" s="5" t="s">
        <v>129</v>
      </c>
      <c r="S331" s="7" t="s">
        <v>1731</v>
      </c>
    </row>
    <row r="332" spans="1:19" x14ac:dyDescent="0.35">
      <c r="A332" s="6">
        <v>17381768</v>
      </c>
      <c r="B332" s="5" t="s">
        <v>250</v>
      </c>
      <c r="C332" s="5" t="s">
        <v>163</v>
      </c>
      <c r="D332" s="5" t="s">
        <v>77</v>
      </c>
      <c r="E332" s="5" t="s">
        <v>133</v>
      </c>
      <c r="F332" s="5" t="s">
        <v>1728</v>
      </c>
      <c r="G332" s="5"/>
      <c r="H332" s="5">
        <v>1998</v>
      </c>
      <c r="I332" s="5"/>
      <c r="J332" s="5" t="s">
        <v>192</v>
      </c>
      <c r="K332" s="5">
        <v>4.3</v>
      </c>
      <c r="L332" s="5">
        <v>935</v>
      </c>
      <c r="M332" s="5"/>
      <c r="N332" s="5">
        <v>1790.0851063829789</v>
      </c>
      <c r="O332" s="5">
        <v>1790.0851063829789</v>
      </c>
      <c r="P332" s="5" t="s">
        <v>192</v>
      </c>
      <c r="Q332" s="5" t="s">
        <v>57</v>
      </c>
      <c r="R332" s="5" t="s">
        <v>129</v>
      </c>
      <c r="S332" s="7" t="s">
        <v>1729</v>
      </c>
    </row>
    <row r="333" spans="1:19" x14ac:dyDescent="0.35">
      <c r="A333" s="6">
        <v>10986390</v>
      </c>
      <c r="B333" s="5" t="s">
        <v>225</v>
      </c>
      <c r="C333" s="5" t="s">
        <v>156</v>
      </c>
      <c r="D333" s="5" t="s">
        <v>220</v>
      </c>
      <c r="E333" s="5" t="s">
        <v>140</v>
      </c>
      <c r="F333" s="5" t="s">
        <v>1726</v>
      </c>
      <c r="G333" s="5">
        <v>381</v>
      </c>
      <c r="H333" s="5">
        <v>449</v>
      </c>
      <c r="I333" s="5" t="s">
        <v>1307</v>
      </c>
      <c r="J333" s="5" t="s">
        <v>171</v>
      </c>
      <c r="K333" s="5">
        <v>4.3</v>
      </c>
      <c r="L333" s="5">
        <v>934</v>
      </c>
      <c r="M333" s="5">
        <v>0.15</v>
      </c>
      <c r="N333" s="5">
        <v>691.83976143141149</v>
      </c>
      <c r="O333" s="5">
        <v>381</v>
      </c>
      <c r="P333" s="5" t="s">
        <v>171</v>
      </c>
      <c r="Q333" s="5" t="s">
        <v>57</v>
      </c>
      <c r="R333" s="5" t="s">
        <v>129</v>
      </c>
      <c r="S333" s="7" t="s">
        <v>1727</v>
      </c>
    </row>
    <row r="334" spans="1:19" x14ac:dyDescent="0.35">
      <c r="A334" s="6">
        <v>8714027</v>
      </c>
      <c r="B334" s="5" t="s">
        <v>225</v>
      </c>
      <c r="C334" s="5" t="s">
        <v>142</v>
      </c>
      <c r="D334" s="5" t="s">
        <v>141</v>
      </c>
      <c r="E334" s="5" t="s">
        <v>140</v>
      </c>
      <c r="F334" s="5" t="s">
        <v>1724</v>
      </c>
      <c r="G334" s="5">
        <v>899</v>
      </c>
      <c r="H334" s="5">
        <v>1799</v>
      </c>
      <c r="I334" s="5" t="s">
        <v>209</v>
      </c>
      <c r="J334" s="5" t="s">
        <v>348</v>
      </c>
      <c r="K334" s="5">
        <v>4.0999999999999996</v>
      </c>
      <c r="L334" s="5">
        <v>934</v>
      </c>
      <c r="M334" s="5">
        <v>0.5</v>
      </c>
      <c r="N334" s="5">
        <v>1138.6340612208289</v>
      </c>
      <c r="O334" s="5">
        <v>899</v>
      </c>
      <c r="P334" s="5" t="s">
        <v>348</v>
      </c>
      <c r="Q334" s="5" t="s">
        <v>57</v>
      </c>
      <c r="R334" s="5" t="s">
        <v>129</v>
      </c>
      <c r="S334" s="7" t="s">
        <v>1725</v>
      </c>
    </row>
    <row r="335" spans="1:19" x14ac:dyDescent="0.35">
      <c r="A335" s="6">
        <v>6832181</v>
      </c>
      <c r="B335" s="5" t="s">
        <v>183</v>
      </c>
      <c r="C335" s="5" t="s">
        <v>142</v>
      </c>
      <c r="D335" s="5" t="s">
        <v>493</v>
      </c>
      <c r="E335" s="5" t="s">
        <v>140</v>
      </c>
      <c r="F335" s="5" t="s">
        <v>1722</v>
      </c>
      <c r="G335" s="5">
        <v>1799</v>
      </c>
      <c r="H335" s="5">
        <v>4499</v>
      </c>
      <c r="I335" s="5" t="s">
        <v>223</v>
      </c>
      <c r="J335" s="5" t="s">
        <v>572</v>
      </c>
      <c r="K335" s="5">
        <v>4.3</v>
      </c>
      <c r="L335" s="5">
        <v>934</v>
      </c>
      <c r="M335" s="5">
        <v>0.6</v>
      </c>
      <c r="N335" s="5">
        <v>1138.6340612208289</v>
      </c>
      <c r="O335" s="5">
        <v>1799</v>
      </c>
      <c r="P335" s="5" t="s">
        <v>572</v>
      </c>
      <c r="Q335" s="5" t="s">
        <v>55</v>
      </c>
      <c r="R335" s="5" t="s">
        <v>129</v>
      </c>
      <c r="S335" s="7" t="s">
        <v>1723</v>
      </c>
    </row>
    <row r="336" spans="1:19" x14ac:dyDescent="0.35">
      <c r="A336" s="6">
        <v>9200201</v>
      </c>
      <c r="B336" s="5" t="s">
        <v>460</v>
      </c>
      <c r="C336" s="5" t="s">
        <v>135</v>
      </c>
      <c r="D336" s="5" t="s">
        <v>168</v>
      </c>
      <c r="E336" s="5" t="s">
        <v>133</v>
      </c>
      <c r="F336" s="5" t="s">
        <v>1720</v>
      </c>
      <c r="G336" s="5">
        <v>559</v>
      </c>
      <c r="H336" s="5">
        <v>1599</v>
      </c>
      <c r="I336" s="5" t="s">
        <v>197</v>
      </c>
      <c r="J336" s="5" t="s">
        <v>192</v>
      </c>
      <c r="K336" s="5">
        <v>4.0999999999999996</v>
      </c>
      <c r="L336" s="5">
        <v>934</v>
      </c>
      <c r="M336" s="5">
        <v>0.65</v>
      </c>
      <c r="N336" s="5">
        <v>1493.337491012077</v>
      </c>
      <c r="O336" s="5">
        <v>559</v>
      </c>
      <c r="P336" s="5" t="s">
        <v>192</v>
      </c>
      <c r="Q336" s="5" t="s">
        <v>55</v>
      </c>
      <c r="R336" s="5" t="s">
        <v>129</v>
      </c>
      <c r="S336" s="7" t="s">
        <v>1721</v>
      </c>
    </row>
    <row r="337" spans="1:19" x14ac:dyDescent="0.35">
      <c r="A337" s="6">
        <v>17523596</v>
      </c>
      <c r="B337" s="5" t="s">
        <v>225</v>
      </c>
      <c r="C337" s="5" t="s">
        <v>163</v>
      </c>
      <c r="D337" s="5" t="s">
        <v>77</v>
      </c>
      <c r="E337" s="5" t="s">
        <v>133</v>
      </c>
      <c r="F337" s="5" t="s">
        <v>1718</v>
      </c>
      <c r="G337" s="5"/>
      <c r="H337" s="5">
        <v>1398</v>
      </c>
      <c r="I337" s="5" t="s">
        <v>209</v>
      </c>
      <c r="J337" s="5" t="s">
        <v>192</v>
      </c>
      <c r="K337" s="5">
        <v>4.3</v>
      </c>
      <c r="L337" s="5">
        <v>934</v>
      </c>
      <c r="M337" s="5">
        <v>0.5</v>
      </c>
      <c r="N337" s="5">
        <v>1790.0851063829789</v>
      </c>
      <c r="O337" s="5"/>
      <c r="P337" s="5" t="s">
        <v>192</v>
      </c>
      <c r="Q337" s="5" t="s">
        <v>57</v>
      </c>
      <c r="R337" s="5" t="s">
        <v>129</v>
      </c>
      <c r="S337" s="7" t="s">
        <v>1719</v>
      </c>
    </row>
    <row r="338" spans="1:19" x14ac:dyDescent="0.35">
      <c r="A338" s="6">
        <v>11109396</v>
      </c>
      <c r="B338" s="5" t="s">
        <v>1189</v>
      </c>
      <c r="C338" s="5" t="s">
        <v>163</v>
      </c>
      <c r="D338" s="5" t="s">
        <v>228</v>
      </c>
      <c r="E338" s="5" t="s">
        <v>133</v>
      </c>
      <c r="F338" s="5" t="s">
        <v>1716</v>
      </c>
      <c r="G338" s="5"/>
      <c r="H338" s="5">
        <v>1599</v>
      </c>
      <c r="I338" s="5" t="s">
        <v>1715</v>
      </c>
      <c r="J338" s="5" t="s">
        <v>212</v>
      </c>
      <c r="K338" s="5">
        <v>4.4000000000000004</v>
      </c>
      <c r="L338" s="5">
        <v>934</v>
      </c>
      <c r="M338" s="5">
        <v>0.17</v>
      </c>
      <c r="N338" s="5">
        <v>1790.0851063829789</v>
      </c>
      <c r="O338" s="5"/>
      <c r="P338" s="5" t="s">
        <v>212</v>
      </c>
      <c r="Q338" s="5" t="s">
        <v>57</v>
      </c>
      <c r="R338" s="5" t="s">
        <v>129</v>
      </c>
      <c r="S338" s="7" t="s">
        <v>1717</v>
      </c>
    </row>
    <row r="339" spans="1:19" x14ac:dyDescent="0.35">
      <c r="A339" s="6">
        <v>2248879</v>
      </c>
      <c r="B339" s="5" t="s">
        <v>250</v>
      </c>
      <c r="C339" s="5" t="s">
        <v>142</v>
      </c>
      <c r="D339" s="5" t="s">
        <v>141</v>
      </c>
      <c r="E339" s="5" t="s">
        <v>140</v>
      </c>
      <c r="F339" s="5" t="s">
        <v>1713</v>
      </c>
      <c r="G339" s="5">
        <v>824</v>
      </c>
      <c r="H339" s="5">
        <v>1499</v>
      </c>
      <c r="I339" s="5" t="s">
        <v>36</v>
      </c>
      <c r="J339" s="5" t="s">
        <v>276</v>
      </c>
      <c r="K339" s="5">
        <v>4</v>
      </c>
      <c r="L339" s="5">
        <v>933</v>
      </c>
      <c r="M339" s="5">
        <v>0.45</v>
      </c>
      <c r="N339" s="5">
        <v>1138.6340612208289</v>
      </c>
      <c r="O339" s="5">
        <v>824</v>
      </c>
      <c r="P339" s="5" t="s">
        <v>276</v>
      </c>
      <c r="Q339" s="5" t="s">
        <v>57</v>
      </c>
      <c r="R339" s="5" t="s">
        <v>129</v>
      </c>
      <c r="S339" s="7" t="s">
        <v>1714</v>
      </c>
    </row>
    <row r="340" spans="1:19" x14ac:dyDescent="0.35">
      <c r="A340" s="6">
        <v>8426381</v>
      </c>
      <c r="B340" s="5" t="s">
        <v>183</v>
      </c>
      <c r="C340" s="5" t="s">
        <v>142</v>
      </c>
      <c r="D340" s="5" t="s">
        <v>77</v>
      </c>
      <c r="E340" s="5" t="s">
        <v>140</v>
      </c>
      <c r="F340" s="5" t="s">
        <v>1711</v>
      </c>
      <c r="G340" s="5">
        <v>499</v>
      </c>
      <c r="H340" s="5">
        <v>999</v>
      </c>
      <c r="I340" s="5" t="s">
        <v>209</v>
      </c>
      <c r="J340" s="5" t="s">
        <v>150</v>
      </c>
      <c r="K340" s="5">
        <v>3.8</v>
      </c>
      <c r="L340" s="5">
        <v>933</v>
      </c>
      <c r="M340" s="5">
        <v>0.5</v>
      </c>
      <c r="N340" s="5">
        <v>1138.6340612208289</v>
      </c>
      <c r="O340" s="5">
        <v>499</v>
      </c>
      <c r="P340" s="5" t="s">
        <v>150</v>
      </c>
      <c r="Q340" s="5" t="s">
        <v>57</v>
      </c>
      <c r="R340" s="5" t="s">
        <v>129</v>
      </c>
      <c r="S340" s="7" t="s">
        <v>1712</v>
      </c>
    </row>
    <row r="341" spans="1:19" x14ac:dyDescent="0.35">
      <c r="A341" s="6">
        <v>15034244</v>
      </c>
      <c r="B341" s="5" t="s">
        <v>443</v>
      </c>
      <c r="C341" s="5" t="s">
        <v>273</v>
      </c>
      <c r="D341" s="5" t="s">
        <v>442</v>
      </c>
      <c r="E341" s="5" t="s">
        <v>133</v>
      </c>
      <c r="F341" s="5" t="s">
        <v>1709</v>
      </c>
      <c r="G341" s="5"/>
      <c r="H341" s="5">
        <v>549</v>
      </c>
      <c r="I341" s="5"/>
      <c r="J341" s="5" t="s">
        <v>352</v>
      </c>
      <c r="K341" s="5">
        <v>4.4000000000000004</v>
      </c>
      <c r="L341" s="5">
        <v>933</v>
      </c>
      <c r="M341" s="5"/>
      <c r="N341" s="5">
        <v>811.90284167198604</v>
      </c>
      <c r="O341" s="5">
        <v>811.90284167198604</v>
      </c>
      <c r="P341" s="5" t="s">
        <v>352</v>
      </c>
      <c r="Q341" s="5" t="s">
        <v>57</v>
      </c>
      <c r="R341" s="5" t="s">
        <v>129</v>
      </c>
      <c r="S341" s="7" t="s">
        <v>1710</v>
      </c>
    </row>
    <row r="342" spans="1:19" x14ac:dyDescent="0.35">
      <c r="A342" s="6">
        <v>1741886</v>
      </c>
      <c r="B342" s="5" t="s">
        <v>339</v>
      </c>
      <c r="C342" s="5" t="s">
        <v>163</v>
      </c>
      <c r="D342" s="5" t="s">
        <v>188</v>
      </c>
      <c r="E342" s="5" t="s">
        <v>133</v>
      </c>
      <c r="F342" s="5" t="s">
        <v>1707</v>
      </c>
      <c r="G342" s="5"/>
      <c r="H342" s="5">
        <v>1999</v>
      </c>
      <c r="I342" s="5" t="s">
        <v>178</v>
      </c>
      <c r="J342" s="5" t="s">
        <v>222</v>
      </c>
      <c r="K342" s="5">
        <v>3.8</v>
      </c>
      <c r="L342" s="5">
        <v>933</v>
      </c>
      <c r="M342" s="5">
        <v>0.55000000000000004</v>
      </c>
      <c r="N342" s="5">
        <v>1790.0851063829789</v>
      </c>
      <c r="O342" s="5"/>
      <c r="P342" s="5" t="s">
        <v>222</v>
      </c>
      <c r="Q342" s="5" t="s">
        <v>55</v>
      </c>
      <c r="R342" s="5" t="s">
        <v>129</v>
      </c>
      <c r="S342" s="7" t="s">
        <v>1708</v>
      </c>
    </row>
    <row r="343" spans="1:19" x14ac:dyDescent="0.35">
      <c r="A343" s="6">
        <v>8325255</v>
      </c>
      <c r="B343" s="5" t="s">
        <v>225</v>
      </c>
      <c r="C343" s="5" t="s">
        <v>163</v>
      </c>
      <c r="D343" s="5" t="s">
        <v>194</v>
      </c>
      <c r="E343" s="5" t="s">
        <v>133</v>
      </c>
      <c r="F343" s="5" t="s">
        <v>1705</v>
      </c>
      <c r="G343" s="5"/>
      <c r="H343" s="5">
        <v>899</v>
      </c>
      <c r="I343" s="5" t="s">
        <v>223</v>
      </c>
      <c r="J343" s="5" t="s">
        <v>192</v>
      </c>
      <c r="K343" s="5">
        <v>4.2</v>
      </c>
      <c r="L343" s="5">
        <v>933</v>
      </c>
      <c r="M343" s="5">
        <v>0.6</v>
      </c>
      <c r="N343" s="5">
        <v>1790.0851063829789</v>
      </c>
      <c r="O343" s="5"/>
      <c r="P343" s="5" t="s">
        <v>192</v>
      </c>
      <c r="Q343" s="5" t="s">
        <v>55</v>
      </c>
      <c r="R343" s="5" t="s">
        <v>129</v>
      </c>
      <c r="S343" s="7" t="s">
        <v>1706</v>
      </c>
    </row>
    <row r="344" spans="1:19" x14ac:dyDescent="0.35">
      <c r="A344" s="6">
        <v>10064565</v>
      </c>
      <c r="B344" s="5" t="s">
        <v>250</v>
      </c>
      <c r="C344" s="5" t="s">
        <v>189</v>
      </c>
      <c r="D344" s="5" t="s">
        <v>162</v>
      </c>
      <c r="E344" s="5" t="s">
        <v>140</v>
      </c>
      <c r="F344" s="5" t="s">
        <v>1703</v>
      </c>
      <c r="G344" s="5">
        <v>719</v>
      </c>
      <c r="H344" s="5">
        <v>1799</v>
      </c>
      <c r="I344" s="5" t="s">
        <v>223</v>
      </c>
      <c r="J344" s="5" t="s">
        <v>408</v>
      </c>
      <c r="K344" s="5">
        <v>3.8</v>
      </c>
      <c r="L344" s="5">
        <v>932</v>
      </c>
      <c r="M344" s="5">
        <v>0.6</v>
      </c>
      <c r="N344" s="5">
        <v>1351.2078667815099</v>
      </c>
      <c r="O344" s="5">
        <v>719</v>
      </c>
      <c r="P344" s="5" t="s">
        <v>408</v>
      </c>
      <c r="Q344" s="5" t="s">
        <v>55</v>
      </c>
      <c r="R344" s="5" t="s">
        <v>129</v>
      </c>
      <c r="S344" s="7" t="s">
        <v>1704</v>
      </c>
    </row>
    <row r="345" spans="1:19" x14ac:dyDescent="0.35">
      <c r="A345" s="6">
        <v>6611361</v>
      </c>
      <c r="B345" s="5" t="s">
        <v>460</v>
      </c>
      <c r="C345" s="5" t="s">
        <v>135</v>
      </c>
      <c r="D345" s="5" t="s">
        <v>377</v>
      </c>
      <c r="E345" s="5" t="s">
        <v>133</v>
      </c>
      <c r="F345" s="5" t="s">
        <v>1701</v>
      </c>
      <c r="G345" s="5">
        <v>1199</v>
      </c>
      <c r="H345" s="5">
        <v>2999</v>
      </c>
      <c r="I345" s="5" t="s">
        <v>223</v>
      </c>
      <c r="J345" s="5" t="s">
        <v>196</v>
      </c>
      <c r="K345" s="5">
        <v>4.0999999999999996</v>
      </c>
      <c r="L345" s="5">
        <v>932</v>
      </c>
      <c r="M345" s="5">
        <v>0.6</v>
      </c>
      <c r="N345" s="5">
        <v>1493.337491012077</v>
      </c>
      <c r="O345" s="5">
        <v>1199</v>
      </c>
      <c r="P345" s="5" t="s">
        <v>196</v>
      </c>
      <c r="Q345" s="5" t="s">
        <v>55</v>
      </c>
      <c r="R345" s="5" t="s">
        <v>129</v>
      </c>
      <c r="S345" s="7" t="s">
        <v>1702</v>
      </c>
    </row>
    <row r="346" spans="1:19" x14ac:dyDescent="0.35">
      <c r="A346" s="6">
        <v>11357430</v>
      </c>
      <c r="B346" s="5" t="s">
        <v>152</v>
      </c>
      <c r="C346" s="5" t="s">
        <v>75</v>
      </c>
      <c r="D346" s="5" t="s">
        <v>418</v>
      </c>
      <c r="E346" s="5" t="s">
        <v>133</v>
      </c>
      <c r="F346" s="5" t="s">
        <v>1699</v>
      </c>
      <c r="G346" s="5">
        <v>599</v>
      </c>
      <c r="H346" s="5">
        <v>1499</v>
      </c>
      <c r="I346" s="5" t="s">
        <v>223</v>
      </c>
      <c r="J346" s="5" t="s">
        <v>222</v>
      </c>
      <c r="K346" s="5">
        <v>4.3</v>
      </c>
      <c r="L346" s="5">
        <v>932</v>
      </c>
      <c r="M346" s="5">
        <v>0.6</v>
      </c>
      <c r="N346" s="5">
        <v>1097.3783736315199</v>
      </c>
      <c r="O346" s="5">
        <v>599</v>
      </c>
      <c r="P346" s="5" t="s">
        <v>222</v>
      </c>
      <c r="Q346" s="5" t="s">
        <v>55</v>
      </c>
      <c r="R346" s="5" t="s">
        <v>129</v>
      </c>
      <c r="S346" s="7" t="s">
        <v>1700</v>
      </c>
    </row>
    <row r="347" spans="1:19" x14ac:dyDescent="0.35">
      <c r="A347" s="6">
        <v>1979350</v>
      </c>
      <c r="B347" s="5" t="s">
        <v>190</v>
      </c>
      <c r="C347" s="5" t="s">
        <v>189</v>
      </c>
      <c r="D347" s="5" t="s">
        <v>188</v>
      </c>
      <c r="E347" s="5" t="s">
        <v>140</v>
      </c>
      <c r="F347" s="5" t="s">
        <v>1697</v>
      </c>
      <c r="G347" s="5">
        <v>769</v>
      </c>
      <c r="H347" s="5">
        <v>999</v>
      </c>
      <c r="I347" s="5" t="s">
        <v>1696</v>
      </c>
      <c r="J347" s="5" t="s">
        <v>185</v>
      </c>
      <c r="K347" s="5">
        <v>4</v>
      </c>
      <c r="L347" s="5">
        <v>931</v>
      </c>
      <c r="M347" s="5">
        <v>0.23</v>
      </c>
      <c r="N347" s="5">
        <v>1351.2078667815099</v>
      </c>
      <c r="O347" s="5">
        <v>769</v>
      </c>
      <c r="P347" s="5" t="s">
        <v>185</v>
      </c>
      <c r="Q347" s="5" t="s">
        <v>57</v>
      </c>
      <c r="R347" s="5" t="s">
        <v>129</v>
      </c>
      <c r="S347" s="7" t="s">
        <v>1698</v>
      </c>
    </row>
    <row r="348" spans="1:19" x14ac:dyDescent="0.35">
      <c r="A348" s="6">
        <v>9168717</v>
      </c>
      <c r="B348" s="5" t="s">
        <v>355</v>
      </c>
      <c r="C348" s="5" t="s">
        <v>156</v>
      </c>
      <c r="D348" s="5" t="s">
        <v>500</v>
      </c>
      <c r="E348" s="5" t="s">
        <v>140</v>
      </c>
      <c r="F348" s="5" t="s">
        <v>1694</v>
      </c>
      <c r="G348" s="5"/>
      <c r="H348" s="5">
        <v>369</v>
      </c>
      <c r="I348" s="5"/>
      <c r="J348" s="5" t="s">
        <v>352</v>
      </c>
      <c r="K348" s="5">
        <v>4.5</v>
      </c>
      <c r="L348" s="5">
        <v>931</v>
      </c>
      <c r="M348" s="5"/>
      <c r="N348" s="5">
        <v>691.83976143141149</v>
      </c>
      <c r="O348" s="5">
        <v>691.83976143141149</v>
      </c>
      <c r="P348" s="5" t="s">
        <v>352</v>
      </c>
      <c r="Q348" s="5" t="s">
        <v>57</v>
      </c>
      <c r="R348" s="5" t="s">
        <v>129</v>
      </c>
      <c r="S348" s="7" t="s">
        <v>1695</v>
      </c>
    </row>
    <row r="349" spans="1:19" x14ac:dyDescent="0.35">
      <c r="A349" s="6">
        <v>8943339</v>
      </c>
      <c r="B349" s="5" t="s">
        <v>143</v>
      </c>
      <c r="C349" s="5" t="s">
        <v>142</v>
      </c>
      <c r="D349" s="5" t="s">
        <v>141</v>
      </c>
      <c r="E349" s="5" t="s">
        <v>140</v>
      </c>
      <c r="F349" s="5" t="s">
        <v>1692</v>
      </c>
      <c r="G349" s="5">
        <v>664</v>
      </c>
      <c r="H349" s="5">
        <v>1899</v>
      </c>
      <c r="I349" s="5" t="s">
        <v>197</v>
      </c>
      <c r="J349" s="5" t="s">
        <v>138</v>
      </c>
      <c r="K349" s="5">
        <v>4.0999999999999996</v>
      </c>
      <c r="L349" s="5">
        <v>931</v>
      </c>
      <c r="M349" s="5">
        <v>0.65</v>
      </c>
      <c r="N349" s="5">
        <v>1138.6340612208289</v>
      </c>
      <c r="O349" s="5">
        <v>664</v>
      </c>
      <c r="P349" s="5" t="s">
        <v>138</v>
      </c>
      <c r="Q349" s="5" t="s">
        <v>55</v>
      </c>
      <c r="R349" s="5" t="s">
        <v>129</v>
      </c>
      <c r="S349" s="7" t="s">
        <v>1693</v>
      </c>
    </row>
    <row r="350" spans="1:19" x14ac:dyDescent="0.35">
      <c r="A350" s="6">
        <v>10275261</v>
      </c>
      <c r="B350" s="5" t="s">
        <v>250</v>
      </c>
      <c r="C350" s="5" t="s">
        <v>142</v>
      </c>
      <c r="D350" s="5" t="s">
        <v>141</v>
      </c>
      <c r="E350" s="5" t="s">
        <v>140</v>
      </c>
      <c r="F350" s="5" t="s">
        <v>1690</v>
      </c>
      <c r="G350" s="5">
        <v>899</v>
      </c>
      <c r="H350" s="5">
        <v>1999</v>
      </c>
      <c r="I350" s="5" t="s">
        <v>178</v>
      </c>
      <c r="J350" s="5" t="s">
        <v>348</v>
      </c>
      <c r="K350" s="5">
        <v>4.0999999999999996</v>
      </c>
      <c r="L350" s="5">
        <v>931</v>
      </c>
      <c r="M350" s="5">
        <v>0.55000000000000004</v>
      </c>
      <c r="N350" s="5">
        <v>1138.6340612208289</v>
      </c>
      <c r="O350" s="5">
        <v>899</v>
      </c>
      <c r="P350" s="5" t="s">
        <v>348</v>
      </c>
      <c r="Q350" s="5" t="s">
        <v>55</v>
      </c>
      <c r="R350" s="5" t="s">
        <v>129</v>
      </c>
      <c r="S350" s="7" t="s">
        <v>1691</v>
      </c>
    </row>
    <row r="351" spans="1:19" x14ac:dyDescent="0.35">
      <c r="A351" s="6">
        <v>13843034</v>
      </c>
      <c r="B351" s="5" t="s">
        <v>472</v>
      </c>
      <c r="C351" s="5" t="s">
        <v>163</v>
      </c>
      <c r="D351" s="5" t="s">
        <v>194</v>
      </c>
      <c r="E351" s="5" t="s">
        <v>133</v>
      </c>
      <c r="F351" s="5" t="s">
        <v>1688</v>
      </c>
      <c r="G351" s="5"/>
      <c r="H351" s="5">
        <v>999</v>
      </c>
      <c r="I351" s="5" t="s">
        <v>645</v>
      </c>
      <c r="J351" s="5" t="s">
        <v>192</v>
      </c>
      <c r="K351" s="5">
        <v>4.4000000000000004</v>
      </c>
      <c r="L351" s="5">
        <v>931</v>
      </c>
      <c r="M351" s="5">
        <v>0.52</v>
      </c>
      <c r="N351" s="5">
        <v>1790.0851063829789</v>
      </c>
      <c r="O351" s="5"/>
      <c r="P351" s="5" t="s">
        <v>192</v>
      </c>
      <c r="Q351" s="5" t="s">
        <v>55</v>
      </c>
      <c r="R351" s="5" t="s">
        <v>129</v>
      </c>
      <c r="S351" s="7" t="s">
        <v>1689</v>
      </c>
    </row>
    <row r="352" spans="1:19" x14ac:dyDescent="0.35">
      <c r="A352" s="6">
        <v>10064543</v>
      </c>
      <c r="B352" s="5" t="s">
        <v>250</v>
      </c>
      <c r="C352" s="5" t="s">
        <v>189</v>
      </c>
      <c r="D352" s="5" t="s">
        <v>162</v>
      </c>
      <c r="E352" s="5" t="s">
        <v>140</v>
      </c>
      <c r="F352" s="5" t="s">
        <v>336</v>
      </c>
      <c r="G352" s="5">
        <v>799</v>
      </c>
      <c r="H352" s="5">
        <v>1999</v>
      </c>
      <c r="I352" s="5" t="s">
        <v>223</v>
      </c>
      <c r="J352" s="5" t="s">
        <v>624</v>
      </c>
      <c r="K352" s="5">
        <v>3.8</v>
      </c>
      <c r="L352" s="5">
        <v>930</v>
      </c>
      <c r="M352" s="5">
        <v>0.6</v>
      </c>
      <c r="N352" s="5">
        <v>1351.2078667815099</v>
      </c>
      <c r="O352" s="5">
        <v>799</v>
      </c>
      <c r="P352" s="5" t="s">
        <v>624</v>
      </c>
      <c r="Q352" s="5" t="s">
        <v>55</v>
      </c>
      <c r="R352" s="5" t="s">
        <v>129</v>
      </c>
      <c r="S352" s="7" t="s">
        <v>1687</v>
      </c>
    </row>
    <row r="353" spans="1:19" x14ac:dyDescent="0.35">
      <c r="A353" s="6">
        <v>13859292</v>
      </c>
      <c r="B353" s="5" t="s">
        <v>250</v>
      </c>
      <c r="C353" s="5" t="s">
        <v>189</v>
      </c>
      <c r="D353" s="5" t="s">
        <v>188</v>
      </c>
      <c r="E353" s="5" t="s">
        <v>140</v>
      </c>
      <c r="F353" s="5" t="s">
        <v>1685</v>
      </c>
      <c r="G353" s="5">
        <v>584</v>
      </c>
      <c r="H353" s="5">
        <v>1299</v>
      </c>
      <c r="I353" s="5" t="s">
        <v>178</v>
      </c>
      <c r="J353" s="5" t="s">
        <v>408</v>
      </c>
      <c r="K353" s="5">
        <v>4</v>
      </c>
      <c r="L353" s="5">
        <v>930</v>
      </c>
      <c r="M353" s="5">
        <v>0.55000000000000004</v>
      </c>
      <c r="N353" s="5">
        <v>1351.2078667815099</v>
      </c>
      <c r="O353" s="5">
        <v>584</v>
      </c>
      <c r="P353" s="5" t="s">
        <v>408</v>
      </c>
      <c r="Q353" s="5" t="s">
        <v>55</v>
      </c>
      <c r="R353" s="5" t="s">
        <v>129</v>
      </c>
      <c r="S353" s="7" t="s">
        <v>1686</v>
      </c>
    </row>
    <row r="354" spans="1:19" x14ac:dyDescent="0.35">
      <c r="A354" s="6">
        <v>11444888</v>
      </c>
      <c r="B354" s="5" t="s">
        <v>443</v>
      </c>
      <c r="C354" s="5" t="s">
        <v>156</v>
      </c>
      <c r="D354" s="5" t="s">
        <v>500</v>
      </c>
      <c r="E354" s="5" t="s">
        <v>140</v>
      </c>
      <c r="F354" s="5" t="s">
        <v>1683</v>
      </c>
      <c r="G354" s="5"/>
      <c r="H354" s="5">
        <v>429</v>
      </c>
      <c r="I354" s="5"/>
      <c r="J354" s="5" t="s">
        <v>352</v>
      </c>
      <c r="K354" s="5">
        <v>4.3</v>
      </c>
      <c r="L354" s="5">
        <v>930</v>
      </c>
      <c r="M354" s="5"/>
      <c r="N354" s="5">
        <v>691.83976143141149</v>
      </c>
      <c r="O354" s="5">
        <v>691.83976143141149</v>
      </c>
      <c r="P354" s="5" t="s">
        <v>352</v>
      </c>
      <c r="Q354" s="5" t="s">
        <v>57</v>
      </c>
      <c r="R354" s="5" t="s">
        <v>129</v>
      </c>
      <c r="S354" s="7" t="s">
        <v>1684</v>
      </c>
    </row>
    <row r="355" spans="1:19" x14ac:dyDescent="0.35">
      <c r="A355" s="6">
        <v>12631330</v>
      </c>
      <c r="B355" s="5" t="s">
        <v>378</v>
      </c>
      <c r="C355" s="5" t="s">
        <v>135</v>
      </c>
      <c r="D355" s="5" t="s">
        <v>174</v>
      </c>
      <c r="E355" s="5" t="s">
        <v>133</v>
      </c>
      <c r="F355" s="5" t="s">
        <v>1681</v>
      </c>
      <c r="G355" s="5">
        <v>2479</v>
      </c>
      <c r="H355" s="5">
        <v>6199</v>
      </c>
      <c r="I355" s="5" t="s">
        <v>223</v>
      </c>
      <c r="J355" s="5" t="s">
        <v>171</v>
      </c>
      <c r="K355" s="5">
        <v>4.2</v>
      </c>
      <c r="L355" s="5">
        <v>930</v>
      </c>
      <c r="M355" s="5">
        <v>0.6</v>
      </c>
      <c r="N355" s="5">
        <v>1493.337491012077</v>
      </c>
      <c r="O355" s="5">
        <v>2479</v>
      </c>
      <c r="P355" s="5" t="s">
        <v>171</v>
      </c>
      <c r="Q355" s="5" t="s">
        <v>55</v>
      </c>
      <c r="R355" s="5" t="s">
        <v>129</v>
      </c>
      <c r="S355" s="7" t="s">
        <v>1682</v>
      </c>
    </row>
    <row r="356" spans="1:19" x14ac:dyDescent="0.35">
      <c r="A356" s="6">
        <v>9371507</v>
      </c>
      <c r="B356" s="5" t="s">
        <v>180</v>
      </c>
      <c r="C356" s="5" t="s">
        <v>235</v>
      </c>
      <c r="D356" s="5" t="s">
        <v>168</v>
      </c>
      <c r="E356" s="5" t="s">
        <v>133</v>
      </c>
      <c r="F356" s="5" t="s">
        <v>1679</v>
      </c>
      <c r="G356" s="5">
        <v>599</v>
      </c>
      <c r="H356" s="5">
        <v>1499</v>
      </c>
      <c r="I356" s="5" t="s">
        <v>223</v>
      </c>
      <c r="J356" s="5" t="s">
        <v>196</v>
      </c>
      <c r="K356" s="5">
        <v>3.7</v>
      </c>
      <c r="L356" s="5">
        <v>930</v>
      </c>
      <c r="M356" s="5">
        <v>0.6</v>
      </c>
      <c r="N356" s="5">
        <v>923.69459774582197</v>
      </c>
      <c r="O356" s="5">
        <v>599</v>
      </c>
      <c r="P356" s="5" t="s">
        <v>196</v>
      </c>
      <c r="Q356" s="5" t="s">
        <v>55</v>
      </c>
      <c r="R356" s="5" t="s">
        <v>129</v>
      </c>
      <c r="S356" s="7" t="s">
        <v>1680</v>
      </c>
    </row>
    <row r="357" spans="1:19" x14ac:dyDescent="0.35">
      <c r="A357" s="6">
        <v>12033996</v>
      </c>
      <c r="B357" s="5" t="s">
        <v>164</v>
      </c>
      <c r="C357" s="5" t="s">
        <v>163</v>
      </c>
      <c r="D357" s="5" t="s">
        <v>1677</v>
      </c>
      <c r="E357" s="5" t="s">
        <v>133</v>
      </c>
      <c r="F357" s="5" t="s">
        <v>1676</v>
      </c>
      <c r="G357" s="5"/>
      <c r="H357" s="5">
        <v>2149</v>
      </c>
      <c r="I357" s="5" t="s">
        <v>371</v>
      </c>
      <c r="J357" s="5" t="s">
        <v>212</v>
      </c>
      <c r="K357" s="5">
        <v>4.3</v>
      </c>
      <c r="L357" s="5">
        <v>930</v>
      </c>
      <c r="M357" s="5">
        <v>0.48</v>
      </c>
      <c r="N357" s="5">
        <v>1790.0851063829789</v>
      </c>
      <c r="O357" s="5"/>
      <c r="P357" s="5" t="s">
        <v>212</v>
      </c>
      <c r="Q357" s="5" t="s">
        <v>57</v>
      </c>
      <c r="R357" s="5" t="s">
        <v>129</v>
      </c>
      <c r="S357" s="7" t="s">
        <v>1678</v>
      </c>
    </row>
    <row r="358" spans="1:19" x14ac:dyDescent="0.35">
      <c r="A358" s="6">
        <v>8964507</v>
      </c>
      <c r="B358" s="5" t="s">
        <v>250</v>
      </c>
      <c r="C358" s="5" t="s">
        <v>163</v>
      </c>
      <c r="D358" s="5" t="s">
        <v>194</v>
      </c>
      <c r="E358" s="5" t="s">
        <v>133</v>
      </c>
      <c r="F358" s="5" t="s">
        <v>1674</v>
      </c>
      <c r="G358" s="5"/>
      <c r="H358" s="5">
        <v>999</v>
      </c>
      <c r="I358" s="5" t="s">
        <v>1169</v>
      </c>
      <c r="J358" s="5" t="s">
        <v>192</v>
      </c>
      <c r="K358" s="5">
        <v>4.3</v>
      </c>
      <c r="L358" s="5">
        <v>930</v>
      </c>
      <c r="M358" s="5">
        <v>5</v>
      </c>
      <c r="N358" s="5">
        <v>1790.0851063829789</v>
      </c>
      <c r="O358" s="5"/>
      <c r="P358" s="5" t="s">
        <v>192</v>
      </c>
      <c r="Q358" s="5" t="s">
        <v>55</v>
      </c>
      <c r="R358" s="5" t="s">
        <v>129</v>
      </c>
      <c r="S358" s="7" t="s">
        <v>1675</v>
      </c>
    </row>
    <row r="359" spans="1:19" x14ac:dyDescent="0.35">
      <c r="A359" s="6">
        <v>11201226</v>
      </c>
      <c r="B359" s="5" t="s">
        <v>250</v>
      </c>
      <c r="C359" s="5" t="s">
        <v>189</v>
      </c>
      <c r="D359" s="5" t="s">
        <v>188</v>
      </c>
      <c r="E359" s="5" t="s">
        <v>140</v>
      </c>
      <c r="F359" s="5" t="s">
        <v>1672</v>
      </c>
      <c r="G359" s="5"/>
      <c r="H359" s="5">
        <v>2099</v>
      </c>
      <c r="I359" s="5"/>
      <c r="J359" s="5" t="s">
        <v>624</v>
      </c>
      <c r="K359" s="5">
        <v>4.0999999999999996</v>
      </c>
      <c r="L359" s="5">
        <v>929</v>
      </c>
      <c r="M359" s="5"/>
      <c r="N359" s="5">
        <v>1351.2078667815099</v>
      </c>
      <c r="O359" s="5">
        <v>1351.2078667815099</v>
      </c>
      <c r="P359" s="5" t="s">
        <v>624</v>
      </c>
      <c r="Q359" s="5" t="s">
        <v>57</v>
      </c>
      <c r="R359" s="5" t="s">
        <v>129</v>
      </c>
      <c r="S359" s="7" t="s">
        <v>1673</v>
      </c>
    </row>
    <row r="360" spans="1:19" x14ac:dyDescent="0.35">
      <c r="A360" s="6">
        <v>2453736</v>
      </c>
      <c r="B360" s="5" t="s">
        <v>1670</v>
      </c>
      <c r="C360" s="5" t="s">
        <v>135</v>
      </c>
      <c r="D360" s="5" t="s">
        <v>168</v>
      </c>
      <c r="E360" s="5" t="s">
        <v>140</v>
      </c>
      <c r="F360" s="5" t="s">
        <v>1669</v>
      </c>
      <c r="G360" s="5">
        <v>874</v>
      </c>
      <c r="H360" s="5">
        <v>2499</v>
      </c>
      <c r="I360" s="5" t="s">
        <v>197</v>
      </c>
      <c r="J360" s="5" t="s">
        <v>572</v>
      </c>
      <c r="K360" s="5">
        <v>4</v>
      </c>
      <c r="L360" s="5">
        <v>929</v>
      </c>
      <c r="M360" s="5">
        <v>0.65</v>
      </c>
      <c r="N360" s="5">
        <v>1493.337491012077</v>
      </c>
      <c r="O360" s="5">
        <v>874</v>
      </c>
      <c r="P360" s="5" t="s">
        <v>572</v>
      </c>
      <c r="Q360" s="5" t="s">
        <v>55</v>
      </c>
      <c r="R360" s="5" t="s">
        <v>129</v>
      </c>
      <c r="S360" s="7" t="s">
        <v>1671</v>
      </c>
    </row>
    <row r="361" spans="1:19" x14ac:dyDescent="0.35">
      <c r="A361" s="6">
        <v>12446096</v>
      </c>
      <c r="B361" s="5" t="s">
        <v>1667</v>
      </c>
      <c r="C361" s="5" t="s">
        <v>156</v>
      </c>
      <c r="D361" s="5" t="s">
        <v>1616</v>
      </c>
      <c r="E361" s="5" t="s">
        <v>140</v>
      </c>
      <c r="F361" s="5" t="s">
        <v>1666</v>
      </c>
      <c r="G361" s="5">
        <v>674</v>
      </c>
      <c r="H361" s="5">
        <v>1499</v>
      </c>
      <c r="I361" s="5" t="s">
        <v>178</v>
      </c>
      <c r="J361" s="5" t="s">
        <v>150</v>
      </c>
      <c r="K361" s="5">
        <v>4.4000000000000004</v>
      </c>
      <c r="L361" s="5">
        <v>929</v>
      </c>
      <c r="M361" s="5">
        <v>0.55000000000000004</v>
      </c>
      <c r="N361" s="5">
        <v>691.83976143141149</v>
      </c>
      <c r="O361" s="5">
        <v>674</v>
      </c>
      <c r="P361" s="5" t="s">
        <v>150</v>
      </c>
      <c r="Q361" s="5" t="s">
        <v>55</v>
      </c>
      <c r="R361" s="5" t="s">
        <v>129</v>
      </c>
      <c r="S361" s="7" t="s">
        <v>1668</v>
      </c>
    </row>
    <row r="362" spans="1:19" x14ac:dyDescent="0.35">
      <c r="A362" s="6">
        <v>2303707</v>
      </c>
      <c r="B362" s="5" t="s">
        <v>250</v>
      </c>
      <c r="C362" s="5" t="s">
        <v>142</v>
      </c>
      <c r="D362" s="5" t="s">
        <v>77</v>
      </c>
      <c r="E362" s="5" t="s">
        <v>140</v>
      </c>
      <c r="F362" s="5" t="s">
        <v>1664</v>
      </c>
      <c r="G362" s="5"/>
      <c r="H362" s="5">
        <v>1299</v>
      </c>
      <c r="I362" s="5"/>
      <c r="J362" s="5" t="s">
        <v>458</v>
      </c>
      <c r="K362" s="5">
        <v>3.7</v>
      </c>
      <c r="L362" s="5">
        <v>929</v>
      </c>
      <c r="M362" s="5"/>
      <c r="N362" s="5">
        <v>1138.6340612208289</v>
      </c>
      <c r="O362" s="5">
        <v>1138.6340612208289</v>
      </c>
      <c r="P362" s="5" t="s">
        <v>458</v>
      </c>
      <c r="Q362" s="5" t="s">
        <v>57</v>
      </c>
      <c r="R362" s="5" t="s">
        <v>129</v>
      </c>
      <c r="S362" s="7" t="s">
        <v>1665</v>
      </c>
    </row>
    <row r="363" spans="1:19" x14ac:dyDescent="0.35">
      <c r="A363" s="6">
        <v>10424670</v>
      </c>
      <c r="B363" s="5" t="s">
        <v>250</v>
      </c>
      <c r="C363" s="5" t="s">
        <v>142</v>
      </c>
      <c r="D363" s="5" t="s">
        <v>77</v>
      </c>
      <c r="E363" s="5" t="s">
        <v>140</v>
      </c>
      <c r="F363" s="5" t="s">
        <v>1662</v>
      </c>
      <c r="G363" s="5"/>
      <c r="H363" s="5">
        <v>899</v>
      </c>
      <c r="I363" s="5"/>
      <c r="J363" s="5" t="s">
        <v>458</v>
      </c>
      <c r="K363" s="5">
        <v>4.2</v>
      </c>
      <c r="L363" s="5">
        <v>929</v>
      </c>
      <c r="M363" s="5"/>
      <c r="N363" s="5">
        <v>1138.6340612208289</v>
      </c>
      <c r="O363" s="5">
        <v>1138.6340612208289</v>
      </c>
      <c r="P363" s="5" t="s">
        <v>458</v>
      </c>
      <c r="Q363" s="5" t="s">
        <v>57</v>
      </c>
      <c r="R363" s="5" t="s">
        <v>129</v>
      </c>
      <c r="S363" s="7" t="s">
        <v>1663</v>
      </c>
    </row>
    <row r="364" spans="1:19" x14ac:dyDescent="0.35">
      <c r="A364" s="6">
        <v>17381472</v>
      </c>
      <c r="B364" s="5" t="s">
        <v>250</v>
      </c>
      <c r="C364" s="5" t="s">
        <v>163</v>
      </c>
      <c r="D364" s="5" t="s">
        <v>77</v>
      </c>
      <c r="E364" s="5" t="s">
        <v>133</v>
      </c>
      <c r="F364" s="5" t="s">
        <v>1186</v>
      </c>
      <c r="G364" s="5"/>
      <c r="H364" s="5">
        <v>1198</v>
      </c>
      <c r="I364" s="5" t="s">
        <v>209</v>
      </c>
      <c r="J364" s="5" t="s">
        <v>192</v>
      </c>
      <c r="K364" s="5">
        <v>4.2</v>
      </c>
      <c r="L364" s="5">
        <v>929</v>
      </c>
      <c r="M364" s="5">
        <v>0.5</v>
      </c>
      <c r="N364" s="5">
        <v>1790.0851063829789</v>
      </c>
      <c r="O364" s="5"/>
      <c r="P364" s="5" t="s">
        <v>192</v>
      </c>
      <c r="Q364" s="5" t="s">
        <v>57</v>
      </c>
      <c r="R364" s="5" t="s">
        <v>129</v>
      </c>
      <c r="S364" s="7" t="s">
        <v>1661</v>
      </c>
    </row>
    <row r="365" spans="1:19" x14ac:dyDescent="0.35">
      <c r="A365" s="6">
        <v>12708354</v>
      </c>
      <c r="B365" s="5" t="s">
        <v>157</v>
      </c>
      <c r="C365" s="5" t="s">
        <v>156</v>
      </c>
      <c r="D365" s="5" t="s">
        <v>155</v>
      </c>
      <c r="E365" s="5" t="s">
        <v>140</v>
      </c>
      <c r="F365" s="5" t="s">
        <v>1659</v>
      </c>
      <c r="G365" s="5">
        <v>881</v>
      </c>
      <c r="H365" s="5">
        <v>1798</v>
      </c>
      <c r="I365" s="5" t="s">
        <v>279</v>
      </c>
      <c r="J365" s="5" t="s">
        <v>150</v>
      </c>
      <c r="K365" s="5">
        <v>4.0999999999999996</v>
      </c>
      <c r="L365" s="5">
        <v>928</v>
      </c>
      <c r="M365" s="5">
        <v>0.51</v>
      </c>
      <c r="N365" s="5">
        <v>691.83976143141149</v>
      </c>
      <c r="O365" s="5">
        <v>881</v>
      </c>
      <c r="P365" s="5" t="s">
        <v>150</v>
      </c>
      <c r="Q365" s="5" t="s">
        <v>55</v>
      </c>
      <c r="R365" s="5" t="s">
        <v>129</v>
      </c>
      <c r="S365" s="7" t="s">
        <v>1660</v>
      </c>
    </row>
    <row r="366" spans="1:19" x14ac:dyDescent="0.35">
      <c r="A366" s="6">
        <v>8974413</v>
      </c>
      <c r="B366" s="5" t="s">
        <v>1657</v>
      </c>
      <c r="C366" s="5" t="s">
        <v>135</v>
      </c>
      <c r="D366" s="5" t="s">
        <v>377</v>
      </c>
      <c r="E366" s="5" t="s">
        <v>133</v>
      </c>
      <c r="F366" s="5" t="s">
        <v>1656</v>
      </c>
      <c r="G366" s="5">
        <v>1644</v>
      </c>
      <c r="H366" s="5">
        <v>4699</v>
      </c>
      <c r="I366" s="5" t="s">
        <v>197</v>
      </c>
      <c r="J366" s="5" t="s">
        <v>177</v>
      </c>
      <c r="K366" s="5">
        <v>4.3</v>
      </c>
      <c r="L366" s="5">
        <v>928</v>
      </c>
      <c r="M366" s="5">
        <v>0.65</v>
      </c>
      <c r="N366" s="5">
        <v>1493.337491012077</v>
      </c>
      <c r="O366" s="5">
        <v>1644</v>
      </c>
      <c r="P366" s="5" t="s">
        <v>177</v>
      </c>
      <c r="Q366" s="5" t="s">
        <v>55</v>
      </c>
      <c r="R366" s="5" t="s">
        <v>129</v>
      </c>
      <c r="S366" s="7" t="s">
        <v>1658</v>
      </c>
    </row>
    <row r="367" spans="1:19" x14ac:dyDescent="0.35">
      <c r="A367" s="6">
        <v>8935419</v>
      </c>
      <c r="B367" s="5" t="s">
        <v>507</v>
      </c>
      <c r="C367" s="5" t="s">
        <v>163</v>
      </c>
      <c r="D367" s="5" t="s">
        <v>194</v>
      </c>
      <c r="E367" s="5" t="s">
        <v>133</v>
      </c>
      <c r="F367" s="5" t="s">
        <v>1654</v>
      </c>
      <c r="G367" s="5"/>
      <c r="H367" s="5">
        <v>1649</v>
      </c>
      <c r="I367" s="5" t="s">
        <v>223</v>
      </c>
      <c r="J367" s="5" t="s">
        <v>192</v>
      </c>
      <c r="K367" s="5">
        <v>4.2</v>
      </c>
      <c r="L367" s="5">
        <v>928</v>
      </c>
      <c r="M367" s="5">
        <v>0.6</v>
      </c>
      <c r="N367" s="5">
        <v>1790.0851063829789</v>
      </c>
      <c r="O367" s="5"/>
      <c r="P367" s="5" t="s">
        <v>192</v>
      </c>
      <c r="Q367" s="5" t="s">
        <v>55</v>
      </c>
      <c r="R367" s="5" t="s">
        <v>129</v>
      </c>
      <c r="S367" s="7" t="s">
        <v>1655</v>
      </c>
    </row>
    <row r="368" spans="1:19" x14ac:dyDescent="0.35">
      <c r="A368" s="6">
        <v>13077152</v>
      </c>
      <c r="B368" s="5" t="s">
        <v>225</v>
      </c>
      <c r="C368" s="5" t="s">
        <v>189</v>
      </c>
      <c r="D368" s="5" t="s">
        <v>162</v>
      </c>
      <c r="E368" s="5" t="s">
        <v>140</v>
      </c>
      <c r="F368" s="5" t="s">
        <v>1652</v>
      </c>
      <c r="G368" s="5">
        <v>599</v>
      </c>
      <c r="H368" s="5">
        <v>1499</v>
      </c>
      <c r="I368" s="5" t="s">
        <v>223</v>
      </c>
      <c r="J368" s="5" t="s">
        <v>408</v>
      </c>
      <c r="K368" s="5">
        <v>3.8</v>
      </c>
      <c r="L368" s="5">
        <v>927</v>
      </c>
      <c r="M368" s="5">
        <v>0.6</v>
      </c>
      <c r="N368" s="5">
        <v>1351.2078667815099</v>
      </c>
      <c r="O368" s="5">
        <v>599</v>
      </c>
      <c r="P368" s="5" t="s">
        <v>408</v>
      </c>
      <c r="Q368" s="5" t="s">
        <v>55</v>
      </c>
      <c r="R368" s="5" t="s">
        <v>129</v>
      </c>
      <c r="S368" s="7" t="s">
        <v>1653</v>
      </c>
    </row>
    <row r="369" spans="1:19" x14ac:dyDescent="0.35">
      <c r="A369" s="6">
        <v>13861878</v>
      </c>
      <c r="B369" s="5" t="s">
        <v>190</v>
      </c>
      <c r="C369" s="5" t="s">
        <v>142</v>
      </c>
      <c r="D369" s="5" t="s">
        <v>141</v>
      </c>
      <c r="E369" s="5" t="s">
        <v>140</v>
      </c>
      <c r="F369" s="5" t="s">
        <v>1650</v>
      </c>
      <c r="G369" s="5">
        <v>516</v>
      </c>
      <c r="H369" s="5">
        <v>1099</v>
      </c>
      <c r="I369" s="5" t="s">
        <v>381</v>
      </c>
      <c r="J369" s="5" t="s">
        <v>145</v>
      </c>
      <c r="K369" s="5">
        <v>4.3</v>
      </c>
      <c r="L369" s="5">
        <v>927</v>
      </c>
      <c r="M369" s="5">
        <v>0.53</v>
      </c>
      <c r="N369" s="5">
        <v>1138.6340612208289</v>
      </c>
      <c r="O369" s="5">
        <v>516</v>
      </c>
      <c r="P369" s="5" t="s">
        <v>145</v>
      </c>
      <c r="Q369" s="5" t="s">
        <v>55</v>
      </c>
      <c r="R369" s="5" t="s">
        <v>129</v>
      </c>
      <c r="S369" s="7" t="s">
        <v>1651</v>
      </c>
    </row>
    <row r="370" spans="1:19" x14ac:dyDescent="0.35">
      <c r="A370" s="6">
        <v>14205782</v>
      </c>
      <c r="B370" s="5" t="s">
        <v>190</v>
      </c>
      <c r="C370" s="5" t="s">
        <v>142</v>
      </c>
      <c r="D370" s="5" t="s">
        <v>141</v>
      </c>
      <c r="E370" s="5" t="s">
        <v>140</v>
      </c>
      <c r="F370" s="5" t="s">
        <v>1648</v>
      </c>
      <c r="G370" s="5">
        <v>563</v>
      </c>
      <c r="H370" s="5">
        <v>1199</v>
      </c>
      <c r="I370" s="5" t="s">
        <v>381</v>
      </c>
      <c r="J370" s="5" t="s">
        <v>145</v>
      </c>
      <c r="K370" s="5">
        <v>3.8</v>
      </c>
      <c r="L370" s="5">
        <v>927</v>
      </c>
      <c r="M370" s="5">
        <v>0.53</v>
      </c>
      <c r="N370" s="5">
        <v>1138.6340612208289</v>
      </c>
      <c r="O370" s="5">
        <v>563</v>
      </c>
      <c r="P370" s="5" t="s">
        <v>145</v>
      </c>
      <c r="Q370" s="5" t="s">
        <v>55</v>
      </c>
      <c r="R370" s="5" t="s">
        <v>129</v>
      </c>
      <c r="S370" s="7" t="s">
        <v>1649</v>
      </c>
    </row>
    <row r="371" spans="1:19" x14ac:dyDescent="0.35">
      <c r="A371" s="6">
        <v>11883168</v>
      </c>
      <c r="B371" s="5" t="s">
        <v>200</v>
      </c>
      <c r="C371" s="5" t="s">
        <v>273</v>
      </c>
      <c r="D371" s="5" t="s">
        <v>272</v>
      </c>
      <c r="E371" s="5" t="s">
        <v>133</v>
      </c>
      <c r="F371" s="5" t="s">
        <v>1646</v>
      </c>
      <c r="G371" s="5">
        <v>909</v>
      </c>
      <c r="H371" s="5">
        <v>1399</v>
      </c>
      <c r="I371" s="5" t="s">
        <v>205</v>
      </c>
      <c r="J371" s="5" t="s">
        <v>553</v>
      </c>
      <c r="K371" s="5">
        <v>4.4000000000000004</v>
      </c>
      <c r="L371" s="5">
        <v>927</v>
      </c>
      <c r="M371" s="5">
        <v>0.35</v>
      </c>
      <c r="N371" s="5">
        <v>811.90284167198604</v>
      </c>
      <c r="O371" s="5">
        <v>909</v>
      </c>
      <c r="P371" s="5" t="s">
        <v>553</v>
      </c>
      <c r="Q371" s="5" t="s">
        <v>57</v>
      </c>
      <c r="R371" s="5" t="s">
        <v>129</v>
      </c>
      <c r="S371" s="7" t="s">
        <v>1647</v>
      </c>
    </row>
    <row r="372" spans="1:19" x14ac:dyDescent="0.35">
      <c r="A372" s="6">
        <v>11037088</v>
      </c>
      <c r="B372" s="5" t="s">
        <v>152</v>
      </c>
      <c r="C372" s="5" t="s">
        <v>75</v>
      </c>
      <c r="D372" s="5" t="s">
        <v>77</v>
      </c>
      <c r="E372" s="5" t="s">
        <v>133</v>
      </c>
      <c r="F372" s="5" t="s">
        <v>1644</v>
      </c>
      <c r="G372" s="5">
        <v>404</v>
      </c>
      <c r="H372" s="5">
        <v>899</v>
      </c>
      <c r="I372" s="5" t="s">
        <v>178</v>
      </c>
      <c r="J372" s="5" t="s">
        <v>192</v>
      </c>
      <c r="K372" s="5">
        <v>4.3</v>
      </c>
      <c r="L372" s="5">
        <v>927</v>
      </c>
      <c r="M372" s="5">
        <v>0.55000000000000004</v>
      </c>
      <c r="N372" s="5">
        <v>1097.3783736315199</v>
      </c>
      <c r="O372" s="5">
        <v>404</v>
      </c>
      <c r="P372" s="5" t="s">
        <v>192</v>
      </c>
      <c r="Q372" s="5" t="s">
        <v>55</v>
      </c>
      <c r="R372" s="5" t="s">
        <v>129</v>
      </c>
      <c r="S372" s="7" t="s">
        <v>1645</v>
      </c>
    </row>
    <row r="373" spans="1:19" x14ac:dyDescent="0.35">
      <c r="A373" s="6">
        <v>12876318</v>
      </c>
      <c r="B373" s="5" t="s">
        <v>164</v>
      </c>
      <c r="C373" s="5" t="s">
        <v>163</v>
      </c>
      <c r="D373" s="5" t="s">
        <v>162</v>
      </c>
      <c r="E373" s="5" t="s">
        <v>133</v>
      </c>
      <c r="F373" s="5" t="s">
        <v>1642</v>
      </c>
      <c r="G373" s="5"/>
      <c r="H373" s="5">
        <v>1699</v>
      </c>
      <c r="I373" s="5" t="s">
        <v>319</v>
      </c>
      <c r="J373" s="5" t="s">
        <v>505</v>
      </c>
      <c r="K373" s="5">
        <v>4.3</v>
      </c>
      <c r="L373" s="5">
        <v>927</v>
      </c>
      <c r="M373" s="5">
        <v>0.57999999999999996</v>
      </c>
      <c r="N373" s="5">
        <v>1790.0851063829789</v>
      </c>
      <c r="O373" s="5"/>
      <c r="P373" s="5" t="s">
        <v>505</v>
      </c>
      <c r="Q373" s="5" t="s">
        <v>55</v>
      </c>
      <c r="R373" s="5" t="s">
        <v>129</v>
      </c>
      <c r="S373" s="7" t="s">
        <v>1643</v>
      </c>
    </row>
    <row r="374" spans="1:19" x14ac:dyDescent="0.35">
      <c r="A374" s="6">
        <v>10463770</v>
      </c>
      <c r="B374" s="5" t="s">
        <v>200</v>
      </c>
      <c r="C374" s="5" t="s">
        <v>163</v>
      </c>
      <c r="D374" s="5" t="s">
        <v>228</v>
      </c>
      <c r="E374" s="5" t="s">
        <v>133</v>
      </c>
      <c r="F374" s="5" t="s">
        <v>1640</v>
      </c>
      <c r="G374" s="5"/>
      <c r="H374" s="5">
        <v>1999</v>
      </c>
      <c r="I374" s="5" t="s">
        <v>209</v>
      </c>
      <c r="J374" s="5" t="s">
        <v>192</v>
      </c>
      <c r="K374" s="5">
        <v>4.3</v>
      </c>
      <c r="L374" s="5">
        <v>927</v>
      </c>
      <c r="M374" s="5">
        <v>0.5</v>
      </c>
      <c r="N374" s="5">
        <v>1790.0851063829789</v>
      </c>
      <c r="O374" s="5"/>
      <c r="P374" s="5" t="s">
        <v>192</v>
      </c>
      <c r="Q374" s="5" t="s">
        <v>57</v>
      </c>
      <c r="R374" s="5" t="s">
        <v>129</v>
      </c>
      <c r="S374" s="7" t="s">
        <v>1641</v>
      </c>
    </row>
    <row r="375" spans="1:19" x14ac:dyDescent="0.35">
      <c r="A375" s="6">
        <v>2290042</v>
      </c>
      <c r="B375" s="5" t="s">
        <v>190</v>
      </c>
      <c r="C375" s="5" t="s">
        <v>189</v>
      </c>
      <c r="D375" s="5" t="s">
        <v>188</v>
      </c>
      <c r="E375" s="5" t="s">
        <v>140</v>
      </c>
      <c r="F375" s="5" t="s">
        <v>1638</v>
      </c>
      <c r="G375" s="5">
        <v>604</v>
      </c>
      <c r="H375" s="5">
        <v>1549</v>
      </c>
      <c r="I375" s="5" t="s">
        <v>186</v>
      </c>
      <c r="J375" s="5" t="s">
        <v>185</v>
      </c>
      <c r="K375" s="5">
        <v>4</v>
      </c>
      <c r="L375" s="5">
        <v>926</v>
      </c>
      <c r="M375" s="5">
        <v>0.61</v>
      </c>
      <c r="N375" s="5">
        <v>1351.2078667815099</v>
      </c>
      <c r="O375" s="5">
        <v>604</v>
      </c>
      <c r="P375" s="5" t="s">
        <v>185</v>
      </c>
      <c r="Q375" s="5" t="s">
        <v>55</v>
      </c>
      <c r="R375" s="5" t="s">
        <v>129</v>
      </c>
      <c r="S375" s="7" t="s">
        <v>1639</v>
      </c>
    </row>
    <row r="376" spans="1:19" x14ac:dyDescent="0.35">
      <c r="A376" s="6">
        <v>8106703</v>
      </c>
      <c r="B376" s="5" t="s">
        <v>190</v>
      </c>
      <c r="C376" s="5" t="s">
        <v>189</v>
      </c>
      <c r="D376" s="5" t="s">
        <v>188</v>
      </c>
      <c r="E376" s="5" t="s">
        <v>140</v>
      </c>
      <c r="F376" s="5" t="s">
        <v>1636</v>
      </c>
      <c r="G376" s="5">
        <v>554</v>
      </c>
      <c r="H376" s="5">
        <v>1499</v>
      </c>
      <c r="I376" s="5" t="s">
        <v>392</v>
      </c>
      <c r="J376" s="5" t="s">
        <v>185</v>
      </c>
      <c r="K376" s="5">
        <v>3.8</v>
      </c>
      <c r="L376" s="5">
        <v>926</v>
      </c>
      <c r="M376" s="5">
        <v>0.63</v>
      </c>
      <c r="N376" s="5">
        <v>1351.2078667815099</v>
      </c>
      <c r="O376" s="5">
        <v>554</v>
      </c>
      <c r="P376" s="5" t="s">
        <v>185</v>
      </c>
      <c r="Q376" s="5" t="s">
        <v>55</v>
      </c>
      <c r="R376" s="5" t="s">
        <v>129</v>
      </c>
      <c r="S376" s="7" t="s">
        <v>1637</v>
      </c>
    </row>
    <row r="377" spans="1:19" x14ac:dyDescent="0.35">
      <c r="A377" s="6">
        <v>10852560</v>
      </c>
      <c r="B377" s="5" t="s">
        <v>771</v>
      </c>
      <c r="C377" s="5" t="s">
        <v>156</v>
      </c>
      <c r="D377" s="5" t="s">
        <v>155</v>
      </c>
      <c r="E377" s="5" t="s">
        <v>140</v>
      </c>
      <c r="F377" s="5" t="s">
        <v>1634</v>
      </c>
      <c r="G377" s="5">
        <v>629</v>
      </c>
      <c r="H377" s="5">
        <v>769</v>
      </c>
      <c r="I377" s="5" t="s">
        <v>1633</v>
      </c>
      <c r="J377" s="5" t="s">
        <v>212</v>
      </c>
      <c r="K377" s="5">
        <v>4.0999999999999996</v>
      </c>
      <c r="L377" s="5">
        <v>926</v>
      </c>
      <c r="M377" s="5">
        <v>1.4</v>
      </c>
      <c r="N377" s="5">
        <v>691.83976143141149</v>
      </c>
      <c r="O377" s="5">
        <v>629</v>
      </c>
      <c r="P377" s="5" t="s">
        <v>212</v>
      </c>
      <c r="Q377" s="5" t="s">
        <v>55</v>
      </c>
      <c r="R377" s="5" t="s">
        <v>129</v>
      </c>
      <c r="S377" s="7" t="s">
        <v>1635</v>
      </c>
    </row>
    <row r="378" spans="1:19" x14ac:dyDescent="0.35">
      <c r="A378" s="6">
        <v>8301909</v>
      </c>
      <c r="B378" s="5" t="s">
        <v>225</v>
      </c>
      <c r="C378" s="5" t="s">
        <v>142</v>
      </c>
      <c r="D378" s="5" t="s">
        <v>77</v>
      </c>
      <c r="E378" s="5" t="s">
        <v>140</v>
      </c>
      <c r="F378" s="5" t="s">
        <v>1631</v>
      </c>
      <c r="G378" s="5">
        <v>449</v>
      </c>
      <c r="H378" s="5">
        <v>899</v>
      </c>
      <c r="I378" s="5" t="s">
        <v>209</v>
      </c>
      <c r="J378" s="5" t="s">
        <v>212</v>
      </c>
      <c r="K378" s="5">
        <v>4.2</v>
      </c>
      <c r="L378" s="5">
        <v>926</v>
      </c>
      <c r="M378" s="5">
        <v>0.5</v>
      </c>
      <c r="N378" s="5">
        <v>1138.6340612208289</v>
      </c>
      <c r="O378" s="5">
        <v>449</v>
      </c>
      <c r="P378" s="5" t="s">
        <v>212</v>
      </c>
      <c r="Q378" s="5" t="s">
        <v>57</v>
      </c>
      <c r="R378" s="5" t="s">
        <v>129</v>
      </c>
      <c r="S378" s="7" t="s">
        <v>1632</v>
      </c>
    </row>
    <row r="379" spans="1:19" x14ac:dyDescent="0.35">
      <c r="A379" s="6">
        <v>8829435</v>
      </c>
      <c r="B379" s="5" t="s">
        <v>250</v>
      </c>
      <c r="C379" s="5" t="s">
        <v>142</v>
      </c>
      <c r="D379" s="5" t="s">
        <v>77</v>
      </c>
      <c r="E379" s="5" t="s">
        <v>140</v>
      </c>
      <c r="F379" s="5" t="s">
        <v>1629</v>
      </c>
      <c r="G379" s="5">
        <v>449</v>
      </c>
      <c r="H379" s="5">
        <v>899</v>
      </c>
      <c r="I379" s="5" t="s">
        <v>209</v>
      </c>
      <c r="J379" s="5" t="s">
        <v>458</v>
      </c>
      <c r="K379" s="5">
        <v>4.3</v>
      </c>
      <c r="L379" s="5">
        <v>926</v>
      </c>
      <c r="M379" s="5">
        <v>0.5</v>
      </c>
      <c r="N379" s="5">
        <v>1138.6340612208289</v>
      </c>
      <c r="O379" s="5">
        <v>449</v>
      </c>
      <c r="P379" s="5" t="s">
        <v>458</v>
      </c>
      <c r="Q379" s="5" t="s">
        <v>57</v>
      </c>
      <c r="R379" s="5" t="s">
        <v>129</v>
      </c>
      <c r="S379" s="7" t="s">
        <v>1630</v>
      </c>
    </row>
    <row r="380" spans="1:19" x14ac:dyDescent="0.35">
      <c r="A380" s="6">
        <v>12048344</v>
      </c>
      <c r="B380" s="5" t="s">
        <v>378</v>
      </c>
      <c r="C380" s="5" t="s">
        <v>135</v>
      </c>
      <c r="D380" s="5" t="s">
        <v>174</v>
      </c>
      <c r="E380" s="5" t="s">
        <v>133</v>
      </c>
      <c r="F380" s="5" t="s">
        <v>1627</v>
      </c>
      <c r="G380" s="5">
        <v>2589</v>
      </c>
      <c r="H380" s="5">
        <v>6999</v>
      </c>
      <c r="I380" s="5" t="s">
        <v>392</v>
      </c>
      <c r="J380" s="5" t="s">
        <v>171</v>
      </c>
      <c r="K380" s="5">
        <v>4.4000000000000004</v>
      </c>
      <c r="L380" s="5">
        <v>926</v>
      </c>
      <c r="M380" s="5">
        <v>0.63</v>
      </c>
      <c r="N380" s="5">
        <v>1493.337491012077</v>
      </c>
      <c r="O380" s="5">
        <v>2589</v>
      </c>
      <c r="P380" s="5" t="s">
        <v>171</v>
      </c>
      <c r="Q380" s="5" t="s">
        <v>55</v>
      </c>
      <c r="R380" s="5" t="s">
        <v>129</v>
      </c>
      <c r="S380" s="7" t="s">
        <v>1628</v>
      </c>
    </row>
    <row r="381" spans="1:19" x14ac:dyDescent="0.35">
      <c r="A381" s="6">
        <v>2190882</v>
      </c>
      <c r="B381" s="5" t="s">
        <v>1625</v>
      </c>
      <c r="C381" s="5" t="s">
        <v>273</v>
      </c>
      <c r="D381" s="5" t="s">
        <v>442</v>
      </c>
      <c r="E381" s="5" t="s">
        <v>133</v>
      </c>
      <c r="F381" s="5" t="s">
        <v>1624</v>
      </c>
      <c r="G381" s="5">
        <v>686</v>
      </c>
      <c r="H381" s="5">
        <v>915</v>
      </c>
      <c r="I381" s="5" t="s">
        <v>573</v>
      </c>
      <c r="J381" s="5" t="s">
        <v>196</v>
      </c>
      <c r="K381" s="5">
        <v>4</v>
      </c>
      <c r="L381" s="5">
        <v>926</v>
      </c>
      <c r="M381" s="5">
        <v>0.25</v>
      </c>
      <c r="N381" s="5">
        <v>811.90284167198604</v>
      </c>
      <c r="O381" s="5">
        <v>686</v>
      </c>
      <c r="P381" s="5" t="s">
        <v>196</v>
      </c>
      <c r="Q381" s="5" t="s">
        <v>57</v>
      </c>
      <c r="R381" s="5" t="s">
        <v>129</v>
      </c>
      <c r="S381" s="7" t="s">
        <v>1626</v>
      </c>
    </row>
    <row r="382" spans="1:19" x14ac:dyDescent="0.35">
      <c r="A382" s="6">
        <v>11489668</v>
      </c>
      <c r="B382" s="5" t="s">
        <v>250</v>
      </c>
      <c r="C382" s="5" t="s">
        <v>163</v>
      </c>
      <c r="D382" s="5" t="s">
        <v>385</v>
      </c>
      <c r="E382" s="5" t="s">
        <v>133</v>
      </c>
      <c r="F382" s="5" t="s">
        <v>1622</v>
      </c>
      <c r="G382" s="5"/>
      <c r="H382" s="5">
        <v>1299</v>
      </c>
      <c r="I382" s="5" t="s">
        <v>36</v>
      </c>
      <c r="J382" s="5" t="s">
        <v>222</v>
      </c>
      <c r="K382" s="5">
        <v>4.3</v>
      </c>
      <c r="L382" s="5">
        <v>926</v>
      </c>
      <c r="M382" s="5">
        <v>0.45</v>
      </c>
      <c r="N382" s="5">
        <v>1790.0851063829789</v>
      </c>
      <c r="O382" s="5"/>
      <c r="P382" s="5" t="s">
        <v>222</v>
      </c>
      <c r="Q382" s="5" t="s">
        <v>57</v>
      </c>
      <c r="R382" s="5" t="s">
        <v>129</v>
      </c>
      <c r="S382" s="7" t="s">
        <v>1623</v>
      </c>
    </row>
    <row r="383" spans="1:19" x14ac:dyDescent="0.35">
      <c r="A383" s="6">
        <v>2368774</v>
      </c>
      <c r="B383" s="5" t="s">
        <v>250</v>
      </c>
      <c r="C383" s="5" t="s">
        <v>163</v>
      </c>
      <c r="D383" s="5" t="s">
        <v>228</v>
      </c>
      <c r="E383" s="5" t="s">
        <v>133</v>
      </c>
      <c r="F383" s="5" t="s">
        <v>1620</v>
      </c>
      <c r="G383" s="5"/>
      <c r="H383" s="5">
        <v>1399</v>
      </c>
      <c r="I383" s="5" t="s">
        <v>223</v>
      </c>
      <c r="J383" s="5" t="s">
        <v>196</v>
      </c>
      <c r="K383" s="5">
        <v>3.9</v>
      </c>
      <c r="L383" s="5">
        <v>926</v>
      </c>
      <c r="M383" s="5">
        <v>0.6</v>
      </c>
      <c r="N383" s="5">
        <v>1790.0851063829789</v>
      </c>
      <c r="O383" s="5"/>
      <c r="P383" s="5" t="s">
        <v>196</v>
      </c>
      <c r="Q383" s="5" t="s">
        <v>55</v>
      </c>
      <c r="R383" s="5" t="s">
        <v>129</v>
      </c>
      <c r="S383" s="7" t="s">
        <v>1621</v>
      </c>
    </row>
    <row r="384" spans="1:19" x14ac:dyDescent="0.35">
      <c r="A384" s="6">
        <v>12212310</v>
      </c>
      <c r="B384" s="5" t="s">
        <v>152</v>
      </c>
      <c r="C384" s="5" t="s">
        <v>189</v>
      </c>
      <c r="D384" s="5" t="s">
        <v>418</v>
      </c>
      <c r="E384" s="5" t="s">
        <v>140</v>
      </c>
      <c r="F384" s="5" t="s">
        <v>1618</v>
      </c>
      <c r="G384" s="5">
        <v>679</v>
      </c>
      <c r="H384" s="5">
        <v>1699</v>
      </c>
      <c r="I384" s="5" t="s">
        <v>223</v>
      </c>
      <c r="J384" s="5" t="s">
        <v>408</v>
      </c>
      <c r="K384" s="5">
        <v>4.3</v>
      </c>
      <c r="L384" s="5">
        <v>925</v>
      </c>
      <c r="M384" s="5">
        <v>0.6</v>
      </c>
      <c r="N384" s="5">
        <v>1351.2078667815099</v>
      </c>
      <c r="O384" s="5">
        <v>679</v>
      </c>
      <c r="P384" s="5" t="s">
        <v>408</v>
      </c>
      <c r="Q384" s="5" t="s">
        <v>55</v>
      </c>
      <c r="R384" s="5" t="s">
        <v>129</v>
      </c>
      <c r="S384" s="7" t="s">
        <v>1619</v>
      </c>
    </row>
    <row r="385" spans="1:19" x14ac:dyDescent="0.35">
      <c r="A385" s="6">
        <v>9168503</v>
      </c>
      <c r="B385" s="5" t="s">
        <v>355</v>
      </c>
      <c r="C385" s="5" t="s">
        <v>156</v>
      </c>
      <c r="D385" s="5" t="s">
        <v>1616</v>
      </c>
      <c r="E385" s="5" t="s">
        <v>140</v>
      </c>
      <c r="F385" s="5" t="s">
        <v>1615</v>
      </c>
      <c r="G385" s="5"/>
      <c r="H385" s="5">
        <v>599</v>
      </c>
      <c r="I385" s="5"/>
      <c r="J385" s="5" t="s">
        <v>352</v>
      </c>
      <c r="K385" s="5">
        <v>3.9</v>
      </c>
      <c r="L385" s="5">
        <v>925</v>
      </c>
      <c r="M385" s="5"/>
      <c r="N385" s="5">
        <v>691.83976143141149</v>
      </c>
      <c r="O385" s="5">
        <v>691.83976143141149</v>
      </c>
      <c r="P385" s="5" t="s">
        <v>352</v>
      </c>
      <c r="Q385" s="5" t="s">
        <v>57</v>
      </c>
      <c r="R385" s="5" t="s">
        <v>129</v>
      </c>
      <c r="S385" s="7" t="s">
        <v>1617</v>
      </c>
    </row>
    <row r="386" spans="1:19" x14ac:dyDescent="0.35">
      <c r="A386" s="6">
        <v>10803222</v>
      </c>
      <c r="B386" s="5" t="s">
        <v>460</v>
      </c>
      <c r="C386" s="5" t="s">
        <v>142</v>
      </c>
      <c r="D386" s="5" t="s">
        <v>168</v>
      </c>
      <c r="E386" s="5" t="s">
        <v>140</v>
      </c>
      <c r="F386" s="5" t="s">
        <v>1613</v>
      </c>
      <c r="G386" s="5">
        <v>599</v>
      </c>
      <c r="H386" s="5">
        <v>1499</v>
      </c>
      <c r="I386" s="5" t="s">
        <v>223</v>
      </c>
      <c r="J386" s="5" t="s">
        <v>150</v>
      </c>
      <c r="K386" s="5">
        <v>3.8</v>
      </c>
      <c r="L386" s="5">
        <v>925</v>
      </c>
      <c r="M386" s="5">
        <v>0.6</v>
      </c>
      <c r="N386" s="5">
        <v>1138.6340612208289</v>
      </c>
      <c r="O386" s="5">
        <v>599</v>
      </c>
      <c r="P386" s="5" t="s">
        <v>150</v>
      </c>
      <c r="Q386" s="5" t="s">
        <v>55</v>
      </c>
      <c r="R386" s="5" t="s">
        <v>129</v>
      </c>
      <c r="S386" s="7" t="s">
        <v>1614</v>
      </c>
    </row>
    <row r="387" spans="1:19" x14ac:dyDescent="0.35">
      <c r="A387" s="6">
        <v>2444566</v>
      </c>
      <c r="B387" s="5" t="s">
        <v>225</v>
      </c>
      <c r="C387" s="5" t="s">
        <v>142</v>
      </c>
      <c r="D387" s="5" t="s">
        <v>141</v>
      </c>
      <c r="E387" s="5" t="s">
        <v>140</v>
      </c>
      <c r="F387" s="5" t="s">
        <v>1611</v>
      </c>
      <c r="G387" s="5">
        <v>1209</v>
      </c>
      <c r="H387" s="5">
        <v>2199</v>
      </c>
      <c r="I387" s="5" t="s">
        <v>36</v>
      </c>
      <c r="J387" s="5" t="s">
        <v>348</v>
      </c>
      <c r="K387" s="5">
        <v>3.6</v>
      </c>
      <c r="L387" s="5">
        <v>925</v>
      </c>
      <c r="M387" s="5">
        <v>0.45</v>
      </c>
      <c r="N387" s="5">
        <v>1138.6340612208289</v>
      </c>
      <c r="O387" s="5">
        <v>1209</v>
      </c>
      <c r="P387" s="5" t="s">
        <v>348</v>
      </c>
      <c r="Q387" s="5" t="s">
        <v>57</v>
      </c>
      <c r="R387" s="5" t="s">
        <v>129</v>
      </c>
      <c r="S387" s="7" t="s">
        <v>1612</v>
      </c>
    </row>
    <row r="388" spans="1:19" x14ac:dyDescent="0.35">
      <c r="A388" s="6">
        <v>11735666</v>
      </c>
      <c r="B388" s="5" t="s">
        <v>522</v>
      </c>
      <c r="C388" s="5" t="s">
        <v>163</v>
      </c>
      <c r="D388" s="5" t="s">
        <v>194</v>
      </c>
      <c r="E388" s="5" t="s">
        <v>133</v>
      </c>
      <c r="F388" s="5" t="s">
        <v>1609</v>
      </c>
      <c r="G388" s="5"/>
      <c r="H388" s="5">
        <v>699</v>
      </c>
      <c r="I388" s="5" t="s">
        <v>209</v>
      </c>
      <c r="J388" s="5" t="s">
        <v>150</v>
      </c>
      <c r="K388" s="5">
        <v>4.3</v>
      </c>
      <c r="L388" s="5">
        <v>925</v>
      </c>
      <c r="M388" s="5">
        <v>0.5</v>
      </c>
      <c r="N388" s="5">
        <v>1790.0851063829789</v>
      </c>
      <c r="O388" s="5"/>
      <c r="P388" s="5" t="s">
        <v>150</v>
      </c>
      <c r="Q388" s="5" t="s">
        <v>57</v>
      </c>
      <c r="R388" s="5" t="s">
        <v>129</v>
      </c>
      <c r="S388" s="7" t="s">
        <v>1610</v>
      </c>
    </row>
    <row r="389" spans="1:19" x14ac:dyDescent="0.35">
      <c r="A389" s="6">
        <v>13377766</v>
      </c>
      <c r="B389" s="5" t="s">
        <v>1607</v>
      </c>
      <c r="C389" s="5" t="s">
        <v>163</v>
      </c>
      <c r="D389" s="5" t="s">
        <v>194</v>
      </c>
      <c r="E389" s="5" t="s">
        <v>133</v>
      </c>
      <c r="F389" s="5" t="s">
        <v>1606</v>
      </c>
      <c r="G389" s="5"/>
      <c r="H389" s="5">
        <v>999</v>
      </c>
      <c r="I389" s="5" t="s">
        <v>817</v>
      </c>
      <c r="J389" s="5" t="s">
        <v>192</v>
      </c>
      <c r="K389" s="5">
        <v>4.2</v>
      </c>
      <c r="L389" s="5">
        <v>925</v>
      </c>
      <c r="M389" s="5">
        <v>0.47</v>
      </c>
      <c r="N389" s="5">
        <v>1790.0851063829789</v>
      </c>
      <c r="O389" s="5"/>
      <c r="P389" s="5" t="s">
        <v>192</v>
      </c>
      <c r="Q389" s="5" t="s">
        <v>57</v>
      </c>
      <c r="R389" s="5" t="s">
        <v>129</v>
      </c>
      <c r="S389" s="7" t="s">
        <v>1608</v>
      </c>
    </row>
    <row r="390" spans="1:19" x14ac:dyDescent="0.35">
      <c r="A390" s="6">
        <v>1912701</v>
      </c>
      <c r="B390" s="5" t="s">
        <v>152</v>
      </c>
      <c r="C390" s="5" t="s">
        <v>189</v>
      </c>
      <c r="D390" s="5" t="s">
        <v>199</v>
      </c>
      <c r="E390" s="5" t="s">
        <v>140</v>
      </c>
      <c r="F390" s="5" t="s">
        <v>1604</v>
      </c>
      <c r="G390" s="5">
        <v>1104</v>
      </c>
      <c r="H390" s="5">
        <v>1699</v>
      </c>
      <c r="I390" s="5" t="s">
        <v>205</v>
      </c>
      <c r="J390" s="5" t="s">
        <v>150</v>
      </c>
      <c r="K390" s="5">
        <v>3.9</v>
      </c>
      <c r="L390" s="5">
        <v>924</v>
      </c>
      <c r="M390" s="5">
        <v>0.35</v>
      </c>
      <c r="N390" s="5">
        <v>1351.2078667815099</v>
      </c>
      <c r="O390" s="5">
        <v>1104</v>
      </c>
      <c r="P390" s="5" t="s">
        <v>150</v>
      </c>
      <c r="Q390" s="5" t="s">
        <v>57</v>
      </c>
      <c r="R390" s="5" t="s">
        <v>129</v>
      </c>
      <c r="S390" s="7" t="s">
        <v>1605</v>
      </c>
    </row>
    <row r="391" spans="1:19" x14ac:dyDescent="0.35">
      <c r="A391" s="6">
        <v>13819100</v>
      </c>
      <c r="B391" s="5" t="s">
        <v>1240</v>
      </c>
      <c r="C391" s="5" t="s">
        <v>142</v>
      </c>
      <c r="D391" s="5" t="s">
        <v>77</v>
      </c>
      <c r="E391" s="5" t="s">
        <v>140</v>
      </c>
      <c r="F391" s="5" t="s">
        <v>1602</v>
      </c>
      <c r="G391" s="5">
        <v>449</v>
      </c>
      <c r="H391" s="5">
        <v>499</v>
      </c>
      <c r="I391" s="5" t="s">
        <v>270</v>
      </c>
      <c r="J391" s="5" t="s">
        <v>391</v>
      </c>
      <c r="K391" s="5">
        <v>4.0999999999999996</v>
      </c>
      <c r="L391" s="5">
        <v>924</v>
      </c>
      <c r="M391" s="5">
        <v>0.1</v>
      </c>
      <c r="N391" s="5">
        <v>1138.6340612208289</v>
      </c>
      <c r="O391" s="5">
        <v>449</v>
      </c>
      <c r="P391" s="5" t="s">
        <v>391</v>
      </c>
      <c r="Q391" s="5" t="s">
        <v>57</v>
      </c>
      <c r="R391" s="5" t="s">
        <v>129</v>
      </c>
      <c r="S391" s="7" t="s">
        <v>1603</v>
      </c>
    </row>
    <row r="392" spans="1:19" x14ac:dyDescent="0.35">
      <c r="A392" s="6">
        <v>11398830</v>
      </c>
      <c r="B392" s="5" t="s">
        <v>250</v>
      </c>
      <c r="C392" s="5" t="s">
        <v>163</v>
      </c>
      <c r="D392" s="5" t="s">
        <v>77</v>
      </c>
      <c r="E392" s="5" t="s">
        <v>133</v>
      </c>
      <c r="F392" s="5" t="s">
        <v>1600</v>
      </c>
      <c r="G392" s="5"/>
      <c r="H392" s="5">
        <v>799</v>
      </c>
      <c r="I392" s="5" t="s">
        <v>197</v>
      </c>
      <c r="J392" s="5" t="s">
        <v>192</v>
      </c>
      <c r="K392" s="5">
        <v>4</v>
      </c>
      <c r="L392" s="5">
        <v>924</v>
      </c>
      <c r="M392" s="5">
        <v>0.65</v>
      </c>
      <c r="N392" s="5">
        <v>1790.0851063829789</v>
      </c>
      <c r="O392" s="5"/>
      <c r="P392" s="5" t="s">
        <v>192</v>
      </c>
      <c r="Q392" s="5" t="s">
        <v>55</v>
      </c>
      <c r="R392" s="5" t="s">
        <v>129</v>
      </c>
      <c r="S392" s="7" t="s">
        <v>1601</v>
      </c>
    </row>
    <row r="393" spans="1:19" x14ac:dyDescent="0.35">
      <c r="A393" s="6">
        <v>1396021</v>
      </c>
      <c r="B393" s="5" t="s">
        <v>250</v>
      </c>
      <c r="C393" s="5" t="s">
        <v>142</v>
      </c>
      <c r="D393" s="5" t="s">
        <v>77</v>
      </c>
      <c r="E393" s="5" t="s">
        <v>140</v>
      </c>
      <c r="F393" s="5" t="s">
        <v>1598</v>
      </c>
      <c r="G393" s="5">
        <v>629</v>
      </c>
      <c r="H393" s="5">
        <v>1399</v>
      </c>
      <c r="I393" s="5" t="s">
        <v>178</v>
      </c>
      <c r="J393" s="5" t="s">
        <v>458</v>
      </c>
      <c r="K393" s="5">
        <v>4.2</v>
      </c>
      <c r="L393" s="5">
        <v>923</v>
      </c>
      <c r="M393" s="5">
        <v>0.55000000000000004</v>
      </c>
      <c r="N393" s="5">
        <v>1138.6340612208289</v>
      </c>
      <c r="O393" s="5">
        <v>629</v>
      </c>
      <c r="P393" s="5" t="s">
        <v>458</v>
      </c>
      <c r="Q393" s="5" t="s">
        <v>55</v>
      </c>
      <c r="R393" s="5" t="s">
        <v>129</v>
      </c>
      <c r="S393" s="7" t="s">
        <v>1599</v>
      </c>
    </row>
    <row r="394" spans="1:19" x14ac:dyDescent="0.35">
      <c r="A394" s="6">
        <v>11183816</v>
      </c>
      <c r="B394" s="5" t="s">
        <v>200</v>
      </c>
      <c r="C394" s="5" t="s">
        <v>163</v>
      </c>
      <c r="D394" s="5" t="s">
        <v>228</v>
      </c>
      <c r="E394" s="5" t="s">
        <v>133</v>
      </c>
      <c r="F394" s="5" t="s">
        <v>1596</v>
      </c>
      <c r="G394" s="5"/>
      <c r="H394" s="5">
        <v>1999</v>
      </c>
      <c r="I394" s="5" t="s">
        <v>223</v>
      </c>
      <c r="J394" s="5" t="s">
        <v>192</v>
      </c>
      <c r="K394" s="5">
        <v>4.0999999999999996</v>
      </c>
      <c r="L394" s="5">
        <v>923</v>
      </c>
      <c r="M394" s="5">
        <v>0.6</v>
      </c>
      <c r="N394" s="5">
        <v>1790.0851063829789</v>
      </c>
      <c r="O394" s="5"/>
      <c r="P394" s="5" t="s">
        <v>192</v>
      </c>
      <c r="Q394" s="5" t="s">
        <v>55</v>
      </c>
      <c r="R394" s="5" t="s">
        <v>129</v>
      </c>
      <c r="S394" s="7" t="s">
        <v>1597</v>
      </c>
    </row>
    <row r="395" spans="1:19" x14ac:dyDescent="0.35">
      <c r="A395" s="6">
        <v>13250072</v>
      </c>
      <c r="B395" s="5" t="s">
        <v>1305</v>
      </c>
      <c r="C395" s="5" t="s">
        <v>135</v>
      </c>
      <c r="D395" s="5" t="s">
        <v>377</v>
      </c>
      <c r="E395" s="5" t="s">
        <v>133</v>
      </c>
      <c r="F395" s="5" t="s">
        <v>1594</v>
      </c>
      <c r="G395" s="5">
        <v>1563</v>
      </c>
      <c r="H395" s="5">
        <v>3399</v>
      </c>
      <c r="I395" s="5" t="s">
        <v>932</v>
      </c>
      <c r="J395" s="5" t="s">
        <v>196</v>
      </c>
      <c r="K395" s="5">
        <v>4.4000000000000004</v>
      </c>
      <c r="L395" s="5">
        <v>922</v>
      </c>
      <c r="M395" s="5">
        <v>0.54</v>
      </c>
      <c r="N395" s="5">
        <v>1493.337491012077</v>
      </c>
      <c r="O395" s="5">
        <v>1563</v>
      </c>
      <c r="P395" s="5" t="s">
        <v>196</v>
      </c>
      <c r="Q395" s="5" t="s">
        <v>55</v>
      </c>
      <c r="R395" s="5" t="s">
        <v>129</v>
      </c>
      <c r="S395" s="7" t="s">
        <v>1595</v>
      </c>
    </row>
    <row r="396" spans="1:19" x14ac:dyDescent="0.35">
      <c r="A396" s="6">
        <v>7688063</v>
      </c>
      <c r="B396" s="5" t="s">
        <v>152</v>
      </c>
      <c r="C396" s="5" t="s">
        <v>75</v>
      </c>
      <c r="D396" s="5" t="s">
        <v>77</v>
      </c>
      <c r="E396" s="5" t="s">
        <v>133</v>
      </c>
      <c r="F396" s="5" t="s">
        <v>1592</v>
      </c>
      <c r="G396" s="5">
        <v>584</v>
      </c>
      <c r="H396" s="5">
        <v>1299</v>
      </c>
      <c r="I396" s="5" t="s">
        <v>178</v>
      </c>
      <c r="J396" s="5" t="s">
        <v>192</v>
      </c>
      <c r="K396" s="5">
        <v>4.4000000000000004</v>
      </c>
      <c r="L396" s="5">
        <v>922</v>
      </c>
      <c r="M396" s="5">
        <v>0.55000000000000004</v>
      </c>
      <c r="N396" s="5">
        <v>1097.3783736315199</v>
      </c>
      <c r="O396" s="5">
        <v>584</v>
      </c>
      <c r="P396" s="5" t="s">
        <v>192</v>
      </c>
      <c r="Q396" s="5" t="s">
        <v>55</v>
      </c>
      <c r="R396" s="5" t="s">
        <v>129</v>
      </c>
      <c r="S396" s="7" t="s">
        <v>1593</v>
      </c>
    </row>
    <row r="397" spans="1:19" x14ac:dyDescent="0.35">
      <c r="A397" s="6">
        <v>13916976</v>
      </c>
      <c r="B397" s="5" t="s">
        <v>507</v>
      </c>
      <c r="C397" s="5" t="s">
        <v>163</v>
      </c>
      <c r="D397" s="5" t="s">
        <v>194</v>
      </c>
      <c r="E397" s="5" t="s">
        <v>133</v>
      </c>
      <c r="F397" s="5" t="s">
        <v>1590</v>
      </c>
      <c r="G397" s="5"/>
      <c r="H397" s="5">
        <v>2549</v>
      </c>
      <c r="I397" s="5" t="s">
        <v>186</v>
      </c>
      <c r="J397" s="5" t="s">
        <v>192</v>
      </c>
      <c r="K397" s="5">
        <v>4.0999999999999996</v>
      </c>
      <c r="L397" s="5">
        <v>922</v>
      </c>
      <c r="M397" s="5">
        <v>0.61</v>
      </c>
      <c r="N397" s="5">
        <v>1790.0851063829789</v>
      </c>
      <c r="O397" s="5"/>
      <c r="P397" s="5" t="s">
        <v>192</v>
      </c>
      <c r="Q397" s="5" t="s">
        <v>55</v>
      </c>
      <c r="R397" s="5" t="s">
        <v>129</v>
      </c>
      <c r="S397" s="7" t="s">
        <v>1591</v>
      </c>
    </row>
    <row r="398" spans="1:19" x14ac:dyDescent="0.35">
      <c r="A398" s="6">
        <v>12292256</v>
      </c>
      <c r="B398" s="5" t="s">
        <v>164</v>
      </c>
      <c r="C398" s="5" t="s">
        <v>163</v>
      </c>
      <c r="D398" s="5" t="s">
        <v>188</v>
      </c>
      <c r="E398" s="5" t="s">
        <v>133</v>
      </c>
      <c r="F398" s="5" t="s">
        <v>1588</v>
      </c>
      <c r="G398" s="5"/>
      <c r="H398" s="5">
        <v>999</v>
      </c>
      <c r="I398" s="5" t="s">
        <v>371</v>
      </c>
      <c r="J398" s="5" t="s">
        <v>159</v>
      </c>
      <c r="K398" s="5">
        <v>3.8</v>
      </c>
      <c r="L398" s="5">
        <v>922</v>
      </c>
      <c r="M398" s="5">
        <v>0.48</v>
      </c>
      <c r="N398" s="5">
        <v>1790.0851063829789</v>
      </c>
      <c r="O398" s="5"/>
      <c r="P398" s="5" t="s">
        <v>159</v>
      </c>
      <c r="Q398" s="5" t="s">
        <v>57</v>
      </c>
      <c r="R398" s="5" t="s">
        <v>129</v>
      </c>
      <c r="S398" s="7" t="s">
        <v>1589</v>
      </c>
    </row>
    <row r="399" spans="1:19" x14ac:dyDescent="0.35">
      <c r="A399" s="6">
        <v>6849362</v>
      </c>
      <c r="B399" s="5" t="s">
        <v>250</v>
      </c>
      <c r="C399" s="5" t="s">
        <v>142</v>
      </c>
      <c r="D399" s="5" t="s">
        <v>141</v>
      </c>
      <c r="E399" s="5" t="s">
        <v>140</v>
      </c>
      <c r="F399" s="5" t="s">
        <v>1586</v>
      </c>
      <c r="G399" s="5">
        <v>854</v>
      </c>
      <c r="H399" s="5">
        <v>1899</v>
      </c>
      <c r="I399" s="5" t="s">
        <v>178</v>
      </c>
      <c r="J399" s="5" t="s">
        <v>348</v>
      </c>
      <c r="K399" s="5">
        <v>4.2</v>
      </c>
      <c r="L399" s="5">
        <v>921</v>
      </c>
      <c r="M399" s="5">
        <v>0.55000000000000004</v>
      </c>
      <c r="N399" s="5">
        <v>1138.6340612208289</v>
      </c>
      <c r="O399" s="5">
        <v>854</v>
      </c>
      <c r="P399" s="5" t="s">
        <v>348</v>
      </c>
      <c r="Q399" s="5" t="s">
        <v>55</v>
      </c>
      <c r="R399" s="5" t="s">
        <v>129</v>
      </c>
      <c r="S399" s="7" t="s">
        <v>1587</v>
      </c>
    </row>
    <row r="400" spans="1:19" x14ac:dyDescent="0.35">
      <c r="A400" s="6">
        <v>13415698</v>
      </c>
      <c r="B400" s="5" t="s">
        <v>1584</v>
      </c>
      <c r="C400" s="5" t="s">
        <v>135</v>
      </c>
      <c r="D400" s="5" t="s">
        <v>377</v>
      </c>
      <c r="E400" s="5" t="s">
        <v>133</v>
      </c>
      <c r="F400" s="5" t="s">
        <v>1583</v>
      </c>
      <c r="G400" s="5">
        <v>1678</v>
      </c>
      <c r="H400" s="5">
        <v>3997</v>
      </c>
      <c r="I400" s="5" t="s">
        <v>319</v>
      </c>
      <c r="J400" s="5" t="s">
        <v>458</v>
      </c>
      <c r="K400" s="5">
        <v>4</v>
      </c>
      <c r="L400" s="5">
        <v>921</v>
      </c>
      <c r="M400" s="5">
        <v>0.57999999999999996</v>
      </c>
      <c r="N400" s="5">
        <v>1493.337491012077</v>
      </c>
      <c r="O400" s="5">
        <v>1678</v>
      </c>
      <c r="P400" s="5" t="s">
        <v>458</v>
      </c>
      <c r="Q400" s="5" t="s">
        <v>55</v>
      </c>
      <c r="R400" s="5" t="s">
        <v>129</v>
      </c>
      <c r="S400" s="7" t="s">
        <v>1585</v>
      </c>
    </row>
    <row r="401" spans="1:19" x14ac:dyDescent="0.35">
      <c r="A401" s="6">
        <v>16331376</v>
      </c>
      <c r="B401" s="5" t="s">
        <v>637</v>
      </c>
      <c r="C401" s="5" t="s">
        <v>135</v>
      </c>
      <c r="D401" s="5" t="s">
        <v>377</v>
      </c>
      <c r="E401" s="5" t="s">
        <v>133</v>
      </c>
      <c r="F401" s="5" t="s">
        <v>1581</v>
      </c>
      <c r="G401" s="5">
        <v>1861</v>
      </c>
      <c r="H401" s="5">
        <v>4899</v>
      </c>
      <c r="I401" s="5" t="s">
        <v>230</v>
      </c>
      <c r="J401" s="5" t="s">
        <v>150</v>
      </c>
      <c r="K401" s="5">
        <v>4.0999999999999996</v>
      </c>
      <c r="L401" s="5">
        <v>921</v>
      </c>
      <c r="M401" s="5">
        <v>0.62</v>
      </c>
      <c r="N401" s="5">
        <v>1493.337491012077</v>
      </c>
      <c r="O401" s="5">
        <v>1861</v>
      </c>
      <c r="P401" s="5" t="s">
        <v>150</v>
      </c>
      <c r="Q401" s="5" t="s">
        <v>55</v>
      </c>
      <c r="R401" s="5" t="s">
        <v>129</v>
      </c>
      <c r="S401" s="7" t="s">
        <v>1582</v>
      </c>
    </row>
    <row r="402" spans="1:19" x14ac:dyDescent="0.35">
      <c r="A402" s="6">
        <v>12965938</v>
      </c>
      <c r="B402" s="5" t="s">
        <v>1579</v>
      </c>
      <c r="C402" s="5" t="s">
        <v>273</v>
      </c>
      <c r="D402" s="5" t="s">
        <v>155</v>
      </c>
      <c r="E402" s="5" t="s">
        <v>133</v>
      </c>
      <c r="F402" s="5" t="s">
        <v>1578</v>
      </c>
      <c r="G402" s="5"/>
      <c r="H402" s="5">
        <v>799</v>
      </c>
      <c r="I402" s="5"/>
      <c r="J402" s="5" t="s">
        <v>177</v>
      </c>
      <c r="K402" s="5">
        <v>4.5</v>
      </c>
      <c r="L402" s="5">
        <v>921</v>
      </c>
      <c r="M402" s="5"/>
      <c r="N402" s="5">
        <v>811.90284167198604</v>
      </c>
      <c r="O402" s="5">
        <v>811.90284167198604</v>
      </c>
      <c r="P402" s="5" t="s">
        <v>177</v>
      </c>
      <c r="Q402" s="5" t="s">
        <v>57</v>
      </c>
      <c r="R402" s="5" t="s">
        <v>129</v>
      </c>
      <c r="S402" s="7" t="s">
        <v>1580</v>
      </c>
    </row>
    <row r="403" spans="1:19" x14ac:dyDescent="0.35">
      <c r="A403" s="6">
        <v>17385514</v>
      </c>
      <c r="B403" s="5" t="s">
        <v>250</v>
      </c>
      <c r="C403" s="5" t="s">
        <v>163</v>
      </c>
      <c r="D403" s="5" t="s">
        <v>77</v>
      </c>
      <c r="E403" s="5" t="s">
        <v>133</v>
      </c>
      <c r="F403" s="5" t="s">
        <v>288</v>
      </c>
      <c r="G403" s="5"/>
      <c r="H403" s="5">
        <v>1398</v>
      </c>
      <c r="I403" s="5" t="s">
        <v>209</v>
      </c>
      <c r="J403" s="5" t="s">
        <v>192</v>
      </c>
      <c r="K403" s="5">
        <v>4.0999999999999996</v>
      </c>
      <c r="L403" s="5">
        <v>921</v>
      </c>
      <c r="M403" s="5">
        <v>0.5</v>
      </c>
      <c r="N403" s="5">
        <v>1790.0851063829789</v>
      </c>
      <c r="O403" s="5"/>
      <c r="P403" s="5" t="s">
        <v>192</v>
      </c>
      <c r="Q403" s="5" t="s">
        <v>57</v>
      </c>
      <c r="R403" s="5" t="s">
        <v>129</v>
      </c>
      <c r="S403" s="7" t="s">
        <v>1577</v>
      </c>
    </row>
    <row r="404" spans="1:19" x14ac:dyDescent="0.35">
      <c r="A404" s="6">
        <v>7255283</v>
      </c>
      <c r="B404" s="5" t="s">
        <v>397</v>
      </c>
      <c r="C404" s="5" t="s">
        <v>163</v>
      </c>
      <c r="D404" s="5" t="s">
        <v>162</v>
      </c>
      <c r="E404" s="5" t="s">
        <v>133</v>
      </c>
      <c r="F404" s="5" t="s">
        <v>1575</v>
      </c>
      <c r="G404" s="5"/>
      <c r="H404" s="5">
        <v>1899</v>
      </c>
      <c r="I404" s="5" t="s">
        <v>223</v>
      </c>
      <c r="J404" s="5" t="s">
        <v>505</v>
      </c>
      <c r="K404" s="5">
        <v>4.2</v>
      </c>
      <c r="L404" s="5">
        <v>921</v>
      </c>
      <c r="M404" s="5">
        <v>0.6</v>
      </c>
      <c r="N404" s="5">
        <v>1790.0851063829789</v>
      </c>
      <c r="O404" s="5"/>
      <c r="P404" s="5" t="s">
        <v>505</v>
      </c>
      <c r="Q404" s="5" t="s">
        <v>55</v>
      </c>
      <c r="R404" s="5" t="s">
        <v>129</v>
      </c>
      <c r="S404" s="7" t="s">
        <v>1576</v>
      </c>
    </row>
    <row r="405" spans="1:19" x14ac:dyDescent="0.35">
      <c r="A405" s="6">
        <v>6831717</v>
      </c>
      <c r="B405" s="5" t="s">
        <v>250</v>
      </c>
      <c r="C405" s="5" t="s">
        <v>163</v>
      </c>
      <c r="D405" s="5" t="s">
        <v>162</v>
      </c>
      <c r="E405" s="5" t="s">
        <v>133</v>
      </c>
      <c r="F405" s="5" t="s">
        <v>1573</v>
      </c>
      <c r="G405" s="5"/>
      <c r="H405" s="5">
        <v>2099</v>
      </c>
      <c r="I405" s="5" t="s">
        <v>197</v>
      </c>
      <c r="J405" s="5" t="s">
        <v>222</v>
      </c>
      <c r="K405" s="5">
        <v>4</v>
      </c>
      <c r="L405" s="5">
        <v>921</v>
      </c>
      <c r="M405" s="5">
        <v>0.65</v>
      </c>
      <c r="N405" s="5">
        <v>1790.0851063829789</v>
      </c>
      <c r="O405" s="5"/>
      <c r="P405" s="5" t="s">
        <v>222</v>
      </c>
      <c r="Q405" s="5" t="s">
        <v>55</v>
      </c>
      <c r="R405" s="5" t="s">
        <v>129</v>
      </c>
      <c r="S405" s="7" t="s">
        <v>1574</v>
      </c>
    </row>
    <row r="406" spans="1:19" x14ac:dyDescent="0.35">
      <c r="A406" s="6">
        <v>14154082</v>
      </c>
      <c r="B406" s="5" t="s">
        <v>164</v>
      </c>
      <c r="C406" s="5" t="s">
        <v>163</v>
      </c>
      <c r="D406" s="5" t="s">
        <v>199</v>
      </c>
      <c r="E406" s="5" t="s">
        <v>133</v>
      </c>
      <c r="F406" s="5" t="s">
        <v>1571</v>
      </c>
      <c r="G406" s="5"/>
      <c r="H406" s="5">
        <v>999</v>
      </c>
      <c r="I406" s="5" t="s">
        <v>381</v>
      </c>
      <c r="J406" s="5" t="s">
        <v>212</v>
      </c>
      <c r="K406" s="5">
        <v>4.2</v>
      </c>
      <c r="L406" s="5">
        <v>921</v>
      </c>
      <c r="M406" s="5">
        <v>0.53</v>
      </c>
      <c r="N406" s="5">
        <v>1790.0851063829789</v>
      </c>
      <c r="O406" s="5"/>
      <c r="P406" s="5" t="s">
        <v>212</v>
      </c>
      <c r="Q406" s="5" t="s">
        <v>55</v>
      </c>
      <c r="R406" s="5" t="s">
        <v>129</v>
      </c>
      <c r="S406" s="7" t="s">
        <v>1572</v>
      </c>
    </row>
    <row r="407" spans="1:19" x14ac:dyDescent="0.35">
      <c r="A407" s="6">
        <v>10248053</v>
      </c>
      <c r="B407" s="5" t="s">
        <v>355</v>
      </c>
      <c r="C407" s="5" t="s">
        <v>156</v>
      </c>
      <c r="D407" s="5" t="s">
        <v>442</v>
      </c>
      <c r="E407" s="5" t="s">
        <v>140</v>
      </c>
      <c r="F407" s="5" t="s">
        <v>1569</v>
      </c>
      <c r="G407" s="5"/>
      <c r="H407" s="5">
        <v>319</v>
      </c>
      <c r="I407" s="5"/>
      <c r="J407" s="5" t="s">
        <v>352</v>
      </c>
      <c r="K407" s="5">
        <v>3.7</v>
      </c>
      <c r="L407" s="5">
        <v>920</v>
      </c>
      <c r="M407" s="5"/>
      <c r="N407" s="5">
        <v>691.83976143141149</v>
      </c>
      <c r="O407" s="5">
        <v>691.83976143141149</v>
      </c>
      <c r="P407" s="5" t="s">
        <v>352</v>
      </c>
      <c r="Q407" s="5" t="s">
        <v>57</v>
      </c>
      <c r="R407" s="5" t="s">
        <v>129</v>
      </c>
      <c r="S407" s="7" t="s">
        <v>1570</v>
      </c>
    </row>
    <row r="408" spans="1:19" x14ac:dyDescent="0.35">
      <c r="A408" s="6">
        <v>10054361</v>
      </c>
      <c r="B408" s="5" t="s">
        <v>394</v>
      </c>
      <c r="C408" s="5" t="s">
        <v>135</v>
      </c>
      <c r="D408" s="5" t="s">
        <v>168</v>
      </c>
      <c r="E408" s="5" t="s">
        <v>133</v>
      </c>
      <c r="F408" s="5" t="s">
        <v>1567</v>
      </c>
      <c r="G408" s="5">
        <v>659</v>
      </c>
      <c r="H408" s="5">
        <v>1199</v>
      </c>
      <c r="I408" s="5" t="s">
        <v>36</v>
      </c>
      <c r="J408" s="5" t="s">
        <v>391</v>
      </c>
      <c r="K408" s="5">
        <v>4.3</v>
      </c>
      <c r="L408" s="5">
        <v>920</v>
      </c>
      <c r="M408" s="5">
        <v>0.45</v>
      </c>
      <c r="N408" s="5">
        <v>1493.337491012077</v>
      </c>
      <c r="O408" s="5">
        <v>659</v>
      </c>
      <c r="P408" s="5" t="s">
        <v>391</v>
      </c>
      <c r="Q408" s="5" t="s">
        <v>57</v>
      </c>
      <c r="R408" s="5" t="s">
        <v>129</v>
      </c>
      <c r="S408" s="7" t="s">
        <v>1568</v>
      </c>
    </row>
    <row r="409" spans="1:19" x14ac:dyDescent="0.35">
      <c r="A409" s="6">
        <v>13007406</v>
      </c>
      <c r="B409" s="5" t="s">
        <v>143</v>
      </c>
      <c r="C409" s="5" t="s">
        <v>235</v>
      </c>
      <c r="D409" s="5" t="s">
        <v>168</v>
      </c>
      <c r="E409" s="5" t="s">
        <v>133</v>
      </c>
      <c r="F409" s="5" t="s">
        <v>1565</v>
      </c>
      <c r="G409" s="5">
        <v>389</v>
      </c>
      <c r="H409" s="5">
        <v>1299</v>
      </c>
      <c r="I409" s="5" t="s">
        <v>283</v>
      </c>
      <c r="J409" s="5" t="s">
        <v>177</v>
      </c>
      <c r="K409" s="5">
        <v>4.2</v>
      </c>
      <c r="L409" s="5">
        <v>920</v>
      </c>
      <c r="M409" s="5">
        <v>0.7</v>
      </c>
      <c r="N409" s="5">
        <v>923.69459774582197</v>
      </c>
      <c r="O409" s="5">
        <v>389</v>
      </c>
      <c r="P409" s="5" t="s">
        <v>177</v>
      </c>
      <c r="Q409" s="5" t="s">
        <v>55</v>
      </c>
      <c r="R409" s="5" t="s">
        <v>129</v>
      </c>
      <c r="S409" s="7" t="s">
        <v>1566</v>
      </c>
    </row>
    <row r="410" spans="1:19" x14ac:dyDescent="0.35">
      <c r="A410" s="6">
        <v>10926786</v>
      </c>
      <c r="B410" s="5" t="s">
        <v>397</v>
      </c>
      <c r="C410" s="5" t="s">
        <v>163</v>
      </c>
      <c r="D410" s="5" t="s">
        <v>77</v>
      </c>
      <c r="E410" s="5" t="s">
        <v>133</v>
      </c>
      <c r="F410" s="5" t="s">
        <v>1563</v>
      </c>
      <c r="G410" s="5"/>
      <c r="H410" s="5">
        <v>1099</v>
      </c>
      <c r="I410" s="5" t="s">
        <v>178</v>
      </c>
      <c r="J410" s="5" t="s">
        <v>192</v>
      </c>
      <c r="K410" s="5">
        <v>4.4000000000000004</v>
      </c>
      <c r="L410" s="5">
        <v>920</v>
      </c>
      <c r="M410" s="5">
        <v>0.55000000000000004</v>
      </c>
      <c r="N410" s="5">
        <v>1790.0851063829789</v>
      </c>
      <c r="O410" s="5"/>
      <c r="P410" s="5" t="s">
        <v>192</v>
      </c>
      <c r="Q410" s="5" t="s">
        <v>55</v>
      </c>
      <c r="R410" s="5" t="s">
        <v>129</v>
      </c>
      <c r="S410" s="7" t="s">
        <v>1564</v>
      </c>
    </row>
    <row r="411" spans="1:19" x14ac:dyDescent="0.35">
      <c r="A411" s="6">
        <v>17381626</v>
      </c>
      <c r="B411" s="5" t="s">
        <v>250</v>
      </c>
      <c r="C411" s="5" t="s">
        <v>163</v>
      </c>
      <c r="D411" s="5" t="s">
        <v>77</v>
      </c>
      <c r="E411" s="5" t="s">
        <v>133</v>
      </c>
      <c r="F411" s="5" t="s">
        <v>1186</v>
      </c>
      <c r="G411" s="5"/>
      <c r="H411" s="5">
        <v>1798</v>
      </c>
      <c r="I411" s="5" t="s">
        <v>209</v>
      </c>
      <c r="J411" s="5" t="s">
        <v>192</v>
      </c>
      <c r="K411" s="5">
        <v>4.4000000000000004</v>
      </c>
      <c r="L411" s="5">
        <v>920</v>
      </c>
      <c r="M411" s="5">
        <v>0.5</v>
      </c>
      <c r="N411" s="5">
        <v>1790.0851063829789</v>
      </c>
      <c r="O411" s="5"/>
      <c r="P411" s="5" t="s">
        <v>192</v>
      </c>
      <c r="Q411" s="5" t="s">
        <v>57</v>
      </c>
      <c r="R411" s="5" t="s">
        <v>129</v>
      </c>
      <c r="S411" s="7" t="s">
        <v>1562</v>
      </c>
    </row>
    <row r="412" spans="1:19" x14ac:dyDescent="0.35">
      <c r="A412" s="6">
        <v>10662122</v>
      </c>
      <c r="B412" s="5" t="s">
        <v>404</v>
      </c>
      <c r="C412" s="5" t="s">
        <v>163</v>
      </c>
      <c r="D412" s="5" t="s">
        <v>403</v>
      </c>
      <c r="E412" s="5" t="s">
        <v>133</v>
      </c>
      <c r="F412" s="5" t="s">
        <v>1560</v>
      </c>
      <c r="G412" s="5"/>
      <c r="H412" s="5">
        <v>2299</v>
      </c>
      <c r="I412" s="5" t="s">
        <v>401</v>
      </c>
      <c r="J412" s="5" t="s">
        <v>237</v>
      </c>
      <c r="K412" s="5">
        <v>4.0999999999999996</v>
      </c>
      <c r="L412" s="5">
        <v>920</v>
      </c>
      <c r="M412" s="5">
        <v>0.66</v>
      </c>
      <c r="N412" s="5">
        <v>1790.0851063829789</v>
      </c>
      <c r="O412" s="5"/>
      <c r="P412" s="5" t="s">
        <v>237</v>
      </c>
      <c r="Q412" s="5" t="s">
        <v>55</v>
      </c>
      <c r="R412" s="5" t="s">
        <v>129</v>
      </c>
      <c r="S412" s="7" t="s">
        <v>1561</v>
      </c>
    </row>
    <row r="413" spans="1:19" x14ac:dyDescent="0.35">
      <c r="A413" s="6">
        <v>17381454</v>
      </c>
      <c r="B413" s="5" t="s">
        <v>250</v>
      </c>
      <c r="C413" s="5" t="s">
        <v>163</v>
      </c>
      <c r="D413" s="5" t="s">
        <v>77</v>
      </c>
      <c r="E413" s="5" t="s">
        <v>133</v>
      </c>
      <c r="F413" s="5" t="s">
        <v>791</v>
      </c>
      <c r="G413" s="5"/>
      <c r="H413" s="5">
        <v>1098</v>
      </c>
      <c r="I413" s="5"/>
      <c r="J413" s="5" t="s">
        <v>192</v>
      </c>
      <c r="K413" s="5">
        <v>4.2</v>
      </c>
      <c r="L413" s="5">
        <v>920</v>
      </c>
      <c r="M413" s="5"/>
      <c r="N413" s="5">
        <v>1790.0851063829789</v>
      </c>
      <c r="O413" s="5">
        <v>1790.0851063829789</v>
      </c>
      <c r="P413" s="5" t="s">
        <v>192</v>
      </c>
      <c r="Q413" s="5" t="s">
        <v>57</v>
      </c>
      <c r="R413" s="5" t="s">
        <v>129</v>
      </c>
      <c r="S413" s="7" t="s">
        <v>1559</v>
      </c>
    </row>
    <row r="414" spans="1:19" x14ac:dyDescent="0.35">
      <c r="A414" s="6">
        <v>5597189</v>
      </c>
      <c r="B414" s="5" t="s">
        <v>169</v>
      </c>
      <c r="C414" s="5" t="s">
        <v>135</v>
      </c>
      <c r="D414" s="5" t="s">
        <v>168</v>
      </c>
      <c r="E414" s="5" t="s">
        <v>133</v>
      </c>
      <c r="F414" s="5" t="s">
        <v>1557</v>
      </c>
      <c r="G414" s="5">
        <v>492</v>
      </c>
      <c r="H414" s="5">
        <v>1449</v>
      </c>
      <c r="I414" s="5" t="s">
        <v>401</v>
      </c>
      <c r="J414" s="5" t="s">
        <v>150</v>
      </c>
      <c r="K414" s="5">
        <v>3.9</v>
      </c>
      <c r="L414" s="5">
        <v>919</v>
      </c>
      <c r="M414" s="5">
        <v>0.66</v>
      </c>
      <c r="N414" s="5">
        <v>1493.337491012077</v>
      </c>
      <c r="O414" s="5">
        <v>492</v>
      </c>
      <c r="P414" s="5" t="s">
        <v>150</v>
      </c>
      <c r="Q414" s="5" t="s">
        <v>55</v>
      </c>
      <c r="R414" s="5" t="s">
        <v>129</v>
      </c>
      <c r="S414" s="7" t="s">
        <v>1558</v>
      </c>
    </row>
    <row r="415" spans="1:19" x14ac:dyDescent="0.35">
      <c r="A415" s="6">
        <v>12488786</v>
      </c>
      <c r="B415" s="5" t="s">
        <v>308</v>
      </c>
      <c r="C415" s="5" t="s">
        <v>135</v>
      </c>
      <c r="D415" s="5" t="s">
        <v>168</v>
      </c>
      <c r="E415" s="5" t="s">
        <v>133</v>
      </c>
      <c r="F415" s="5" t="s">
        <v>1555</v>
      </c>
      <c r="G415" s="5">
        <v>724</v>
      </c>
      <c r="H415" s="5">
        <v>2499</v>
      </c>
      <c r="I415" s="5" t="s">
        <v>1050</v>
      </c>
      <c r="J415" s="5" t="s">
        <v>150</v>
      </c>
      <c r="K415" s="5">
        <v>4</v>
      </c>
      <c r="L415" s="5">
        <v>919</v>
      </c>
      <c r="M415" s="5">
        <v>0.71</v>
      </c>
      <c r="N415" s="5">
        <v>1493.337491012077</v>
      </c>
      <c r="O415" s="5">
        <v>724</v>
      </c>
      <c r="P415" s="5" t="s">
        <v>150</v>
      </c>
      <c r="Q415" s="5" t="s">
        <v>55</v>
      </c>
      <c r="R415" s="5" t="s">
        <v>129</v>
      </c>
      <c r="S415" s="7" t="s">
        <v>1556</v>
      </c>
    </row>
    <row r="416" spans="1:19" x14ac:dyDescent="0.35">
      <c r="A416" s="6">
        <v>13437250</v>
      </c>
      <c r="B416" s="5" t="s">
        <v>180</v>
      </c>
      <c r="C416" s="5" t="s">
        <v>135</v>
      </c>
      <c r="D416" s="5" t="s">
        <v>377</v>
      </c>
      <c r="E416" s="5" t="s">
        <v>133</v>
      </c>
      <c r="F416" s="5" t="s">
        <v>1553</v>
      </c>
      <c r="G416" s="5">
        <v>979</v>
      </c>
      <c r="H416" s="5">
        <v>2799</v>
      </c>
      <c r="I416" s="5" t="s">
        <v>197</v>
      </c>
      <c r="J416" s="5" t="s">
        <v>177</v>
      </c>
      <c r="K416" s="5">
        <v>4</v>
      </c>
      <c r="L416" s="5">
        <v>919</v>
      </c>
      <c r="M416" s="5">
        <v>0.65</v>
      </c>
      <c r="N416" s="5">
        <v>1493.337491012077</v>
      </c>
      <c r="O416" s="5">
        <v>979</v>
      </c>
      <c r="P416" s="5" t="s">
        <v>177</v>
      </c>
      <c r="Q416" s="5" t="s">
        <v>55</v>
      </c>
      <c r="R416" s="5" t="s">
        <v>129</v>
      </c>
      <c r="S416" s="7" t="s">
        <v>1554</v>
      </c>
    </row>
    <row r="417" spans="1:19" x14ac:dyDescent="0.35">
      <c r="A417" s="6">
        <v>8091637</v>
      </c>
      <c r="B417" s="5" t="s">
        <v>250</v>
      </c>
      <c r="C417" s="5" t="s">
        <v>163</v>
      </c>
      <c r="D417" s="5" t="s">
        <v>162</v>
      </c>
      <c r="E417" s="5" t="s">
        <v>133</v>
      </c>
      <c r="F417" s="5" t="s">
        <v>1551</v>
      </c>
      <c r="G417" s="5"/>
      <c r="H417" s="5">
        <v>1599</v>
      </c>
      <c r="I417" s="5" t="s">
        <v>36</v>
      </c>
      <c r="J417" s="5" t="s">
        <v>222</v>
      </c>
      <c r="K417" s="5">
        <v>4.0999999999999996</v>
      </c>
      <c r="L417" s="5">
        <v>919</v>
      </c>
      <c r="M417" s="5">
        <v>0.45</v>
      </c>
      <c r="N417" s="5">
        <v>1790.0851063829789</v>
      </c>
      <c r="O417" s="5"/>
      <c r="P417" s="5" t="s">
        <v>222</v>
      </c>
      <c r="Q417" s="5" t="s">
        <v>57</v>
      </c>
      <c r="R417" s="5" t="s">
        <v>129</v>
      </c>
      <c r="S417" s="7" t="s">
        <v>1552</v>
      </c>
    </row>
    <row r="418" spans="1:19" x14ac:dyDescent="0.35">
      <c r="A418" s="6">
        <v>13315066</v>
      </c>
      <c r="B418" s="5" t="s">
        <v>250</v>
      </c>
      <c r="C418" s="5" t="s">
        <v>163</v>
      </c>
      <c r="D418" s="5" t="s">
        <v>162</v>
      </c>
      <c r="E418" s="5" t="s">
        <v>133</v>
      </c>
      <c r="F418" s="5" t="s">
        <v>1549</v>
      </c>
      <c r="G418" s="5"/>
      <c r="H418" s="5">
        <v>2299</v>
      </c>
      <c r="I418" s="5" t="s">
        <v>209</v>
      </c>
      <c r="J418" s="5" t="s">
        <v>222</v>
      </c>
      <c r="K418" s="5">
        <v>4.3</v>
      </c>
      <c r="L418" s="5">
        <v>919</v>
      </c>
      <c r="M418" s="5">
        <v>0.5</v>
      </c>
      <c r="N418" s="5">
        <v>1790.0851063829789</v>
      </c>
      <c r="O418" s="5"/>
      <c r="P418" s="5" t="s">
        <v>222</v>
      </c>
      <c r="Q418" s="5" t="s">
        <v>57</v>
      </c>
      <c r="R418" s="5" t="s">
        <v>129</v>
      </c>
      <c r="S418" s="7" t="s">
        <v>1550</v>
      </c>
    </row>
    <row r="419" spans="1:19" x14ac:dyDescent="0.35">
      <c r="A419" s="6">
        <v>6697880</v>
      </c>
      <c r="B419" s="5" t="s">
        <v>339</v>
      </c>
      <c r="C419" s="5" t="s">
        <v>163</v>
      </c>
      <c r="D419" s="5" t="s">
        <v>493</v>
      </c>
      <c r="E419" s="5" t="s">
        <v>133</v>
      </c>
      <c r="F419" s="5" t="s">
        <v>1547</v>
      </c>
      <c r="G419" s="5"/>
      <c r="H419" s="5">
        <v>2499</v>
      </c>
      <c r="I419" s="5" t="s">
        <v>197</v>
      </c>
      <c r="J419" s="5" t="s">
        <v>212</v>
      </c>
      <c r="K419" s="5">
        <v>4.3</v>
      </c>
      <c r="L419" s="5">
        <v>919</v>
      </c>
      <c r="M419" s="5">
        <v>0.65</v>
      </c>
      <c r="N419" s="5">
        <v>1790.0851063829789</v>
      </c>
      <c r="O419" s="5"/>
      <c r="P419" s="5" t="s">
        <v>212</v>
      </c>
      <c r="Q419" s="5" t="s">
        <v>55</v>
      </c>
      <c r="R419" s="5" t="s">
        <v>129</v>
      </c>
      <c r="S419" s="7" t="s">
        <v>1548</v>
      </c>
    </row>
    <row r="420" spans="1:19" x14ac:dyDescent="0.35">
      <c r="A420" s="6">
        <v>1757662</v>
      </c>
      <c r="B420" s="5" t="s">
        <v>281</v>
      </c>
      <c r="C420" s="5" t="s">
        <v>189</v>
      </c>
      <c r="D420" s="5" t="s">
        <v>199</v>
      </c>
      <c r="E420" s="5" t="s">
        <v>140</v>
      </c>
      <c r="F420" s="5" t="s">
        <v>1545</v>
      </c>
      <c r="G420" s="5">
        <v>449</v>
      </c>
      <c r="H420" s="5">
        <v>999</v>
      </c>
      <c r="I420" s="5" t="s">
        <v>178</v>
      </c>
      <c r="J420" s="5" t="s">
        <v>237</v>
      </c>
      <c r="K420" s="5">
        <v>3.5</v>
      </c>
      <c r="L420" s="5">
        <v>918</v>
      </c>
      <c r="M420" s="5">
        <v>0.55000000000000004</v>
      </c>
      <c r="N420" s="5">
        <v>1351.2078667815099</v>
      </c>
      <c r="O420" s="5">
        <v>449</v>
      </c>
      <c r="P420" s="5" t="s">
        <v>237</v>
      </c>
      <c r="Q420" s="5" t="s">
        <v>55</v>
      </c>
      <c r="R420" s="5" t="s">
        <v>129</v>
      </c>
      <c r="S420" s="7" t="s">
        <v>1546</v>
      </c>
    </row>
    <row r="421" spans="1:19" x14ac:dyDescent="0.35">
      <c r="A421" s="6">
        <v>11938226</v>
      </c>
      <c r="B421" s="5" t="s">
        <v>169</v>
      </c>
      <c r="C421" s="5" t="s">
        <v>135</v>
      </c>
      <c r="D421" s="5" t="s">
        <v>377</v>
      </c>
      <c r="E421" s="5" t="s">
        <v>133</v>
      </c>
      <c r="F421" s="5" t="s">
        <v>1543</v>
      </c>
      <c r="G421" s="5">
        <v>805</v>
      </c>
      <c r="H421" s="5">
        <v>4029</v>
      </c>
      <c r="I421" s="5" t="s">
        <v>1542</v>
      </c>
      <c r="J421" s="5" t="s">
        <v>150</v>
      </c>
      <c r="K421" s="5">
        <v>3.9</v>
      </c>
      <c r="L421" s="5">
        <v>918</v>
      </c>
      <c r="M421" s="5">
        <v>0.8</v>
      </c>
      <c r="N421" s="5">
        <v>1493.337491012077</v>
      </c>
      <c r="O421" s="5">
        <v>805</v>
      </c>
      <c r="P421" s="5" t="s">
        <v>150</v>
      </c>
      <c r="Q421" s="5" t="s">
        <v>55</v>
      </c>
      <c r="R421" s="5" t="s">
        <v>129</v>
      </c>
      <c r="S421" s="7" t="s">
        <v>1544</v>
      </c>
    </row>
    <row r="422" spans="1:19" x14ac:dyDescent="0.35">
      <c r="A422" s="6">
        <v>11373682</v>
      </c>
      <c r="B422" s="5" t="s">
        <v>250</v>
      </c>
      <c r="C422" s="5" t="s">
        <v>163</v>
      </c>
      <c r="D422" s="5" t="s">
        <v>194</v>
      </c>
      <c r="E422" s="5" t="s">
        <v>133</v>
      </c>
      <c r="F422" s="5" t="s">
        <v>1540</v>
      </c>
      <c r="G422" s="5"/>
      <c r="H422" s="5">
        <v>599</v>
      </c>
      <c r="I422" s="5" t="s">
        <v>178</v>
      </c>
      <c r="J422" s="5" t="s">
        <v>192</v>
      </c>
      <c r="K422" s="5">
        <v>4.2</v>
      </c>
      <c r="L422" s="5">
        <v>918</v>
      </c>
      <c r="M422" s="5">
        <v>0.55000000000000004</v>
      </c>
      <c r="N422" s="5">
        <v>1790.0851063829789</v>
      </c>
      <c r="O422" s="5"/>
      <c r="P422" s="5" t="s">
        <v>192</v>
      </c>
      <c r="Q422" s="5" t="s">
        <v>55</v>
      </c>
      <c r="R422" s="5" t="s">
        <v>129</v>
      </c>
      <c r="S422" s="7" t="s">
        <v>1541</v>
      </c>
    </row>
    <row r="423" spans="1:19" x14ac:dyDescent="0.35">
      <c r="A423" s="6">
        <v>9575361</v>
      </c>
      <c r="B423" s="5" t="s">
        <v>250</v>
      </c>
      <c r="C423" s="5" t="s">
        <v>189</v>
      </c>
      <c r="D423" s="5" t="s">
        <v>162</v>
      </c>
      <c r="E423" s="5" t="s">
        <v>140</v>
      </c>
      <c r="F423" s="5" t="s">
        <v>1131</v>
      </c>
      <c r="G423" s="5"/>
      <c r="H423" s="5">
        <v>1699</v>
      </c>
      <c r="I423" s="5"/>
      <c r="J423" s="5" t="s">
        <v>408</v>
      </c>
      <c r="K423" s="5">
        <v>3.8</v>
      </c>
      <c r="L423" s="5">
        <v>917</v>
      </c>
      <c r="M423" s="5"/>
      <c r="N423" s="5">
        <v>1351.2078667815099</v>
      </c>
      <c r="O423" s="5">
        <v>1351.2078667815099</v>
      </c>
      <c r="P423" s="5" t="s">
        <v>408</v>
      </c>
      <c r="Q423" s="5" t="s">
        <v>57</v>
      </c>
      <c r="R423" s="5" t="s">
        <v>129</v>
      </c>
      <c r="S423" s="7" t="s">
        <v>1539</v>
      </c>
    </row>
    <row r="424" spans="1:19" x14ac:dyDescent="0.35">
      <c r="A424" s="6">
        <v>10986404</v>
      </c>
      <c r="B424" s="5" t="s">
        <v>225</v>
      </c>
      <c r="C424" s="5" t="s">
        <v>156</v>
      </c>
      <c r="D424" s="5" t="s">
        <v>220</v>
      </c>
      <c r="E424" s="5" t="s">
        <v>140</v>
      </c>
      <c r="F424" s="5" t="s">
        <v>1537</v>
      </c>
      <c r="G424" s="5">
        <v>374</v>
      </c>
      <c r="H424" s="5">
        <v>499</v>
      </c>
      <c r="I424" s="5" t="s">
        <v>573</v>
      </c>
      <c r="J424" s="5" t="s">
        <v>171</v>
      </c>
      <c r="K424" s="5">
        <v>4.3</v>
      </c>
      <c r="L424" s="5">
        <v>917</v>
      </c>
      <c r="M424" s="5">
        <v>0.25</v>
      </c>
      <c r="N424" s="5">
        <v>691.83976143141149</v>
      </c>
      <c r="O424" s="5">
        <v>374</v>
      </c>
      <c r="P424" s="5" t="s">
        <v>171</v>
      </c>
      <c r="Q424" s="5" t="s">
        <v>57</v>
      </c>
      <c r="R424" s="5" t="s">
        <v>129</v>
      </c>
      <c r="S424" s="7" t="s">
        <v>1538</v>
      </c>
    </row>
    <row r="425" spans="1:19" x14ac:dyDescent="0.35">
      <c r="A425" s="6">
        <v>11896050</v>
      </c>
      <c r="B425" s="5" t="s">
        <v>250</v>
      </c>
      <c r="C425" s="5" t="s">
        <v>142</v>
      </c>
      <c r="D425" s="5" t="s">
        <v>141</v>
      </c>
      <c r="E425" s="5" t="s">
        <v>140</v>
      </c>
      <c r="F425" s="5" t="s">
        <v>1535</v>
      </c>
      <c r="G425" s="5">
        <v>714</v>
      </c>
      <c r="H425" s="5">
        <v>1299</v>
      </c>
      <c r="I425" s="5" t="s">
        <v>36</v>
      </c>
      <c r="J425" s="5" t="s">
        <v>348</v>
      </c>
      <c r="K425" s="5">
        <v>4.4000000000000004</v>
      </c>
      <c r="L425" s="5">
        <v>917</v>
      </c>
      <c r="M425" s="5">
        <v>0.45</v>
      </c>
      <c r="N425" s="5">
        <v>1138.6340612208289</v>
      </c>
      <c r="O425" s="5">
        <v>714</v>
      </c>
      <c r="P425" s="5" t="s">
        <v>348</v>
      </c>
      <c r="Q425" s="5" t="s">
        <v>57</v>
      </c>
      <c r="R425" s="5" t="s">
        <v>129</v>
      </c>
      <c r="S425" s="7" t="s">
        <v>1536</v>
      </c>
    </row>
    <row r="426" spans="1:19" x14ac:dyDescent="0.35">
      <c r="A426" s="6">
        <v>8621731</v>
      </c>
      <c r="B426" s="5" t="s">
        <v>460</v>
      </c>
      <c r="C426" s="5" t="s">
        <v>135</v>
      </c>
      <c r="D426" s="5" t="s">
        <v>168</v>
      </c>
      <c r="E426" s="5" t="s">
        <v>133</v>
      </c>
      <c r="F426" s="5" t="s">
        <v>1533</v>
      </c>
      <c r="G426" s="5">
        <v>809</v>
      </c>
      <c r="H426" s="5">
        <v>1799</v>
      </c>
      <c r="I426" s="5" t="s">
        <v>178</v>
      </c>
      <c r="J426" s="5" t="s">
        <v>192</v>
      </c>
      <c r="K426" s="5">
        <v>4</v>
      </c>
      <c r="L426" s="5">
        <v>917</v>
      </c>
      <c r="M426" s="5">
        <v>0.55000000000000004</v>
      </c>
      <c r="N426" s="5">
        <v>1493.337491012077</v>
      </c>
      <c r="O426" s="5">
        <v>809</v>
      </c>
      <c r="P426" s="5" t="s">
        <v>192</v>
      </c>
      <c r="Q426" s="5" t="s">
        <v>55</v>
      </c>
      <c r="R426" s="5" t="s">
        <v>129</v>
      </c>
      <c r="S426" s="7" t="s">
        <v>1534</v>
      </c>
    </row>
    <row r="427" spans="1:19" x14ac:dyDescent="0.35">
      <c r="A427" s="6">
        <v>11629168</v>
      </c>
      <c r="B427" s="5" t="s">
        <v>1531</v>
      </c>
      <c r="C427" s="5" t="s">
        <v>135</v>
      </c>
      <c r="D427" s="5" t="s">
        <v>228</v>
      </c>
      <c r="E427" s="5" t="s">
        <v>133</v>
      </c>
      <c r="F427" s="5" t="s">
        <v>1530</v>
      </c>
      <c r="G427" s="5">
        <v>959</v>
      </c>
      <c r="H427" s="5">
        <v>2999</v>
      </c>
      <c r="I427" s="5" t="s">
        <v>891</v>
      </c>
      <c r="J427" s="5" t="s">
        <v>150</v>
      </c>
      <c r="K427" s="5">
        <v>4.0999999999999996</v>
      </c>
      <c r="L427" s="5">
        <v>917</v>
      </c>
      <c r="M427" s="5">
        <v>0.68</v>
      </c>
      <c r="N427" s="5">
        <v>1493.337491012077</v>
      </c>
      <c r="O427" s="5">
        <v>959</v>
      </c>
      <c r="P427" s="5" t="s">
        <v>150</v>
      </c>
      <c r="Q427" s="5" t="s">
        <v>55</v>
      </c>
      <c r="R427" s="5" t="s">
        <v>129</v>
      </c>
      <c r="S427" s="7" t="s">
        <v>1532</v>
      </c>
    </row>
    <row r="428" spans="1:19" x14ac:dyDescent="0.35">
      <c r="A428" s="6">
        <v>17381478</v>
      </c>
      <c r="B428" s="5" t="s">
        <v>250</v>
      </c>
      <c r="C428" s="5" t="s">
        <v>163</v>
      </c>
      <c r="D428" s="5" t="s">
        <v>77</v>
      </c>
      <c r="E428" s="5" t="s">
        <v>133</v>
      </c>
      <c r="F428" s="5" t="s">
        <v>1186</v>
      </c>
      <c r="G428" s="5"/>
      <c r="H428" s="5">
        <v>1198</v>
      </c>
      <c r="I428" s="5" t="s">
        <v>209</v>
      </c>
      <c r="J428" s="5" t="s">
        <v>192</v>
      </c>
      <c r="K428" s="5">
        <v>4.2</v>
      </c>
      <c r="L428" s="5">
        <v>917</v>
      </c>
      <c r="M428" s="5">
        <v>0.5</v>
      </c>
      <c r="N428" s="5">
        <v>1790.0851063829789</v>
      </c>
      <c r="O428" s="5"/>
      <c r="P428" s="5" t="s">
        <v>192</v>
      </c>
      <c r="Q428" s="5" t="s">
        <v>57</v>
      </c>
      <c r="R428" s="5" t="s">
        <v>129</v>
      </c>
      <c r="S428" s="7" t="s">
        <v>1529</v>
      </c>
    </row>
    <row r="429" spans="1:19" x14ac:dyDescent="0.35">
      <c r="A429" s="6">
        <v>7645398</v>
      </c>
      <c r="B429" s="5" t="s">
        <v>522</v>
      </c>
      <c r="C429" s="5" t="s">
        <v>163</v>
      </c>
      <c r="D429" s="5" t="s">
        <v>194</v>
      </c>
      <c r="E429" s="5" t="s">
        <v>133</v>
      </c>
      <c r="F429" s="5" t="s">
        <v>1527</v>
      </c>
      <c r="G429" s="5"/>
      <c r="H429" s="5">
        <v>1499</v>
      </c>
      <c r="I429" s="5" t="s">
        <v>178</v>
      </c>
      <c r="J429" s="5" t="s">
        <v>150</v>
      </c>
      <c r="K429" s="5">
        <v>4.3</v>
      </c>
      <c r="L429" s="5">
        <v>917</v>
      </c>
      <c r="M429" s="5">
        <v>0.55000000000000004</v>
      </c>
      <c r="N429" s="5">
        <v>1790.0851063829789</v>
      </c>
      <c r="O429" s="5"/>
      <c r="P429" s="5" t="s">
        <v>150</v>
      </c>
      <c r="Q429" s="5" t="s">
        <v>55</v>
      </c>
      <c r="R429" s="5" t="s">
        <v>129</v>
      </c>
      <c r="S429" s="7" t="s">
        <v>1528</v>
      </c>
    </row>
    <row r="430" spans="1:19" x14ac:dyDescent="0.35">
      <c r="A430" s="6">
        <v>11274626</v>
      </c>
      <c r="B430" s="5" t="s">
        <v>250</v>
      </c>
      <c r="C430" s="5" t="s">
        <v>189</v>
      </c>
      <c r="D430" s="5" t="s">
        <v>162</v>
      </c>
      <c r="E430" s="5" t="s">
        <v>140</v>
      </c>
      <c r="F430" s="5" t="s">
        <v>1525</v>
      </c>
      <c r="G430" s="5">
        <v>1079</v>
      </c>
      <c r="H430" s="5">
        <v>1799</v>
      </c>
      <c r="I430" s="5" t="s">
        <v>131</v>
      </c>
      <c r="J430" s="5" t="s">
        <v>624</v>
      </c>
      <c r="K430" s="5">
        <v>4</v>
      </c>
      <c r="L430" s="5">
        <v>916</v>
      </c>
      <c r="M430" s="5">
        <v>0.4</v>
      </c>
      <c r="N430" s="5">
        <v>1351.2078667815099</v>
      </c>
      <c r="O430" s="5">
        <v>1079</v>
      </c>
      <c r="P430" s="5" t="s">
        <v>624</v>
      </c>
      <c r="Q430" s="5" t="s">
        <v>57</v>
      </c>
      <c r="R430" s="5" t="s">
        <v>129</v>
      </c>
      <c r="S430" s="7" t="s">
        <v>1526</v>
      </c>
    </row>
    <row r="431" spans="1:19" x14ac:dyDescent="0.35">
      <c r="A431" s="6">
        <v>10560802</v>
      </c>
      <c r="B431" s="5" t="s">
        <v>180</v>
      </c>
      <c r="C431" s="5" t="s">
        <v>235</v>
      </c>
      <c r="D431" s="5" t="s">
        <v>168</v>
      </c>
      <c r="E431" s="5" t="s">
        <v>133</v>
      </c>
      <c r="F431" s="5" t="s">
        <v>1523</v>
      </c>
      <c r="G431" s="5">
        <v>439</v>
      </c>
      <c r="H431" s="5">
        <v>1099</v>
      </c>
      <c r="I431" s="5" t="s">
        <v>314</v>
      </c>
      <c r="J431" s="5" t="s">
        <v>177</v>
      </c>
      <c r="K431" s="5">
        <v>4.0999999999999996</v>
      </c>
      <c r="L431" s="5">
        <v>916</v>
      </c>
      <c r="M431" s="5">
        <v>0.6</v>
      </c>
      <c r="N431" s="5">
        <v>923.69459774582197</v>
      </c>
      <c r="O431" s="5">
        <v>439</v>
      </c>
      <c r="P431" s="5" t="s">
        <v>177</v>
      </c>
      <c r="Q431" s="5" t="s">
        <v>55</v>
      </c>
      <c r="R431" s="5" t="s">
        <v>129</v>
      </c>
      <c r="S431" s="7" t="s">
        <v>1524</v>
      </c>
    </row>
    <row r="432" spans="1:19" x14ac:dyDescent="0.35">
      <c r="A432" s="6">
        <v>12029628</v>
      </c>
      <c r="B432" s="5" t="s">
        <v>1521</v>
      </c>
      <c r="C432" s="5" t="s">
        <v>163</v>
      </c>
      <c r="D432" s="5" t="s">
        <v>77</v>
      </c>
      <c r="E432" s="5" t="s">
        <v>133</v>
      </c>
      <c r="F432" s="5" t="s">
        <v>1520</v>
      </c>
      <c r="G432" s="5"/>
      <c r="H432" s="5">
        <v>1199</v>
      </c>
      <c r="I432" s="5" t="s">
        <v>645</v>
      </c>
      <c r="J432" s="5" t="s">
        <v>192</v>
      </c>
      <c r="K432" s="5">
        <v>4.4000000000000004</v>
      </c>
      <c r="L432" s="5">
        <v>916</v>
      </c>
      <c r="M432" s="5">
        <v>0.52</v>
      </c>
      <c r="N432" s="5">
        <v>1790.0851063829789</v>
      </c>
      <c r="O432" s="5"/>
      <c r="P432" s="5" t="s">
        <v>192</v>
      </c>
      <c r="Q432" s="5" t="s">
        <v>55</v>
      </c>
      <c r="R432" s="5" t="s">
        <v>129</v>
      </c>
      <c r="S432" s="7" t="s">
        <v>1522</v>
      </c>
    </row>
    <row r="433" spans="1:19" x14ac:dyDescent="0.35">
      <c r="A433" s="6">
        <v>14046728</v>
      </c>
      <c r="B433" s="5" t="s">
        <v>308</v>
      </c>
      <c r="C433" s="5" t="s">
        <v>135</v>
      </c>
      <c r="D433" s="5" t="s">
        <v>377</v>
      </c>
      <c r="E433" s="5" t="s">
        <v>133</v>
      </c>
      <c r="F433" s="5" t="s">
        <v>1518</v>
      </c>
      <c r="G433" s="5">
        <v>2159</v>
      </c>
      <c r="H433" s="5">
        <v>5999</v>
      </c>
      <c r="I433" s="5" t="s">
        <v>306</v>
      </c>
      <c r="J433" s="5" t="s">
        <v>150</v>
      </c>
      <c r="K433" s="5">
        <v>4</v>
      </c>
      <c r="L433" s="5">
        <v>915</v>
      </c>
      <c r="M433" s="5">
        <v>0.64</v>
      </c>
      <c r="N433" s="5">
        <v>1493.337491012077</v>
      </c>
      <c r="O433" s="5">
        <v>2159</v>
      </c>
      <c r="P433" s="5" t="s">
        <v>150</v>
      </c>
      <c r="Q433" s="5" t="s">
        <v>55</v>
      </c>
      <c r="R433" s="5" t="s">
        <v>129</v>
      </c>
      <c r="S433" s="7" t="s">
        <v>1519</v>
      </c>
    </row>
    <row r="434" spans="1:19" x14ac:dyDescent="0.35">
      <c r="A434" s="6">
        <v>2025239</v>
      </c>
      <c r="B434" s="5" t="s">
        <v>250</v>
      </c>
      <c r="C434" s="5" t="s">
        <v>163</v>
      </c>
      <c r="D434" s="5" t="s">
        <v>77</v>
      </c>
      <c r="E434" s="5" t="s">
        <v>133</v>
      </c>
      <c r="F434" s="5" t="s">
        <v>1186</v>
      </c>
      <c r="G434" s="5"/>
      <c r="H434" s="5">
        <v>999</v>
      </c>
      <c r="I434" s="5" t="s">
        <v>209</v>
      </c>
      <c r="J434" s="5" t="s">
        <v>192</v>
      </c>
      <c r="K434" s="5">
        <v>4.3</v>
      </c>
      <c r="L434" s="5">
        <v>915</v>
      </c>
      <c r="M434" s="5">
        <v>0.5</v>
      </c>
      <c r="N434" s="5">
        <v>1790.0851063829789</v>
      </c>
      <c r="O434" s="5"/>
      <c r="P434" s="5" t="s">
        <v>192</v>
      </c>
      <c r="Q434" s="5" t="s">
        <v>57</v>
      </c>
      <c r="R434" s="5" t="s">
        <v>129</v>
      </c>
      <c r="S434" s="7" t="s">
        <v>1517</v>
      </c>
    </row>
    <row r="435" spans="1:19" x14ac:dyDescent="0.35">
      <c r="A435" s="6">
        <v>10187343</v>
      </c>
      <c r="B435" s="5" t="s">
        <v>183</v>
      </c>
      <c r="C435" s="5" t="s">
        <v>189</v>
      </c>
      <c r="D435" s="5" t="s">
        <v>162</v>
      </c>
      <c r="E435" s="5" t="s">
        <v>140</v>
      </c>
      <c r="F435" s="5" t="s">
        <v>1515</v>
      </c>
      <c r="G435" s="5">
        <v>1679</v>
      </c>
      <c r="H435" s="5">
        <v>2799</v>
      </c>
      <c r="I435" s="5" t="s">
        <v>131</v>
      </c>
      <c r="J435" s="5" t="s">
        <v>502</v>
      </c>
      <c r="K435" s="5">
        <v>3.6</v>
      </c>
      <c r="L435" s="5">
        <v>914</v>
      </c>
      <c r="M435" s="5">
        <v>0.4</v>
      </c>
      <c r="N435" s="5">
        <v>1351.2078667815099</v>
      </c>
      <c r="O435" s="5">
        <v>1679</v>
      </c>
      <c r="P435" s="5" t="s">
        <v>502</v>
      </c>
      <c r="Q435" s="5" t="s">
        <v>57</v>
      </c>
      <c r="R435" s="5" t="s">
        <v>129</v>
      </c>
      <c r="S435" s="7" t="s">
        <v>1516</v>
      </c>
    </row>
    <row r="436" spans="1:19" x14ac:dyDescent="0.35">
      <c r="A436" s="6">
        <v>11217408</v>
      </c>
      <c r="B436" s="5" t="s">
        <v>1513</v>
      </c>
      <c r="C436" s="5" t="s">
        <v>156</v>
      </c>
      <c r="D436" s="5" t="s">
        <v>500</v>
      </c>
      <c r="E436" s="5" t="s">
        <v>140</v>
      </c>
      <c r="F436" s="5" t="s">
        <v>1512</v>
      </c>
      <c r="G436" s="5">
        <v>398</v>
      </c>
      <c r="H436" s="5">
        <v>498</v>
      </c>
      <c r="I436" s="5" t="s">
        <v>1511</v>
      </c>
      <c r="J436" s="5" t="s">
        <v>150</v>
      </c>
      <c r="K436" s="5">
        <v>4.2</v>
      </c>
      <c r="L436" s="5">
        <v>914</v>
      </c>
      <c r="M436" s="5">
        <v>1</v>
      </c>
      <c r="N436" s="5">
        <v>691.83976143141149</v>
      </c>
      <c r="O436" s="5">
        <v>398</v>
      </c>
      <c r="P436" s="5" t="s">
        <v>150</v>
      </c>
      <c r="Q436" s="5" t="s">
        <v>55</v>
      </c>
      <c r="R436" s="5" t="s">
        <v>129</v>
      </c>
      <c r="S436" s="7" t="s">
        <v>1514</v>
      </c>
    </row>
    <row r="437" spans="1:19" x14ac:dyDescent="0.35">
      <c r="A437" s="6">
        <v>11158218</v>
      </c>
      <c r="B437" s="5" t="s">
        <v>136</v>
      </c>
      <c r="C437" s="5" t="s">
        <v>142</v>
      </c>
      <c r="D437" s="5" t="s">
        <v>141</v>
      </c>
      <c r="E437" s="5" t="s">
        <v>140</v>
      </c>
      <c r="F437" s="5" t="s">
        <v>1509</v>
      </c>
      <c r="G437" s="5"/>
      <c r="H437" s="5">
        <v>599</v>
      </c>
      <c r="I437" s="5"/>
      <c r="J437" s="5" t="s">
        <v>138</v>
      </c>
      <c r="K437" s="5">
        <v>4.4000000000000004</v>
      </c>
      <c r="L437" s="5">
        <v>914</v>
      </c>
      <c r="M437" s="5"/>
      <c r="N437" s="5">
        <v>1138.6340612208289</v>
      </c>
      <c r="O437" s="5">
        <v>1138.6340612208289</v>
      </c>
      <c r="P437" s="5" t="s">
        <v>138</v>
      </c>
      <c r="Q437" s="5" t="s">
        <v>57</v>
      </c>
      <c r="R437" s="5" t="s">
        <v>129</v>
      </c>
      <c r="S437" s="7" t="s">
        <v>1510</v>
      </c>
    </row>
    <row r="438" spans="1:19" x14ac:dyDescent="0.35">
      <c r="A438" s="6">
        <v>7726426</v>
      </c>
      <c r="B438" s="5" t="s">
        <v>148</v>
      </c>
      <c r="C438" s="5" t="s">
        <v>189</v>
      </c>
      <c r="D438" s="5" t="s">
        <v>162</v>
      </c>
      <c r="E438" s="5" t="s">
        <v>140</v>
      </c>
      <c r="F438" s="5" t="s">
        <v>1507</v>
      </c>
      <c r="G438" s="5">
        <v>849</v>
      </c>
      <c r="H438" s="5">
        <v>2499</v>
      </c>
      <c r="I438" s="5" t="s">
        <v>401</v>
      </c>
      <c r="J438" s="5" t="s">
        <v>185</v>
      </c>
      <c r="K438" s="5">
        <v>3.9</v>
      </c>
      <c r="L438" s="5">
        <v>913</v>
      </c>
      <c r="M438" s="5">
        <v>0.66</v>
      </c>
      <c r="N438" s="5">
        <v>1351.2078667815099</v>
      </c>
      <c r="O438" s="5">
        <v>849</v>
      </c>
      <c r="P438" s="5" t="s">
        <v>185</v>
      </c>
      <c r="Q438" s="5" t="s">
        <v>55</v>
      </c>
      <c r="R438" s="5" t="s">
        <v>129</v>
      </c>
      <c r="S438" s="7" t="s">
        <v>1508</v>
      </c>
    </row>
    <row r="439" spans="1:19" x14ac:dyDescent="0.35">
      <c r="A439" s="6">
        <v>10144527</v>
      </c>
      <c r="B439" s="5" t="s">
        <v>190</v>
      </c>
      <c r="C439" s="5" t="s">
        <v>189</v>
      </c>
      <c r="D439" s="5" t="s">
        <v>188</v>
      </c>
      <c r="E439" s="5" t="s">
        <v>140</v>
      </c>
      <c r="F439" s="5" t="s">
        <v>1505</v>
      </c>
      <c r="G439" s="5">
        <v>767</v>
      </c>
      <c r="H439" s="5">
        <v>1599</v>
      </c>
      <c r="I439" s="5" t="s">
        <v>645</v>
      </c>
      <c r="J439" s="5" t="s">
        <v>185</v>
      </c>
      <c r="K439" s="5">
        <v>4.2</v>
      </c>
      <c r="L439" s="5">
        <v>913</v>
      </c>
      <c r="M439" s="5">
        <v>0.52</v>
      </c>
      <c r="N439" s="5">
        <v>1351.2078667815099</v>
      </c>
      <c r="O439" s="5">
        <v>767</v>
      </c>
      <c r="P439" s="5" t="s">
        <v>185</v>
      </c>
      <c r="Q439" s="5" t="s">
        <v>55</v>
      </c>
      <c r="R439" s="5" t="s">
        <v>129</v>
      </c>
      <c r="S439" s="7" t="s">
        <v>1506</v>
      </c>
    </row>
    <row r="440" spans="1:19" x14ac:dyDescent="0.35">
      <c r="A440" s="6">
        <v>10945090</v>
      </c>
      <c r="B440" s="5" t="s">
        <v>250</v>
      </c>
      <c r="C440" s="5" t="s">
        <v>142</v>
      </c>
      <c r="D440" s="5" t="s">
        <v>141</v>
      </c>
      <c r="E440" s="5" t="s">
        <v>140</v>
      </c>
      <c r="F440" s="5" t="s">
        <v>1503</v>
      </c>
      <c r="G440" s="5">
        <v>999</v>
      </c>
      <c r="H440" s="5">
        <v>1999</v>
      </c>
      <c r="I440" s="5" t="s">
        <v>209</v>
      </c>
      <c r="J440" s="5" t="s">
        <v>348</v>
      </c>
      <c r="K440" s="5">
        <v>4.4000000000000004</v>
      </c>
      <c r="L440" s="5">
        <v>913</v>
      </c>
      <c r="M440" s="5">
        <v>0.5</v>
      </c>
      <c r="N440" s="5">
        <v>1138.6340612208289</v>
      </c>
      <c r="O440" s="5">
        <v>999</v>
      </c>
      <c r="P440" s="5" t="s">
        <v>348</v>
      </c>
      <c r="Q440" s="5" t="s">
        <v>57</v>
      </c>
      <c r="R440" s="5" t="s">
        <v>129</v>
      </c>
      <c r="S440" s="7" t="s">
        <v>1504</v>
      </c>
    </row>
    <row r="441" spans="1:19" x14ac:dyDescent="0.35">
      <c r="A441" s="6">
        <v>2232130</v>
      </c>
      <c r="B441" s="5" t="s">
        <v>225</v>
      </c>
      <c r="C441" s="5" t="s">
        <v>142</v>
      </c>
      <c r="D441" s="5" t="s">
        <v>77</v>
      </c>
      <c r="E441" s="5" t="s">
        <v>140</v>
      </c>
      <c r="F441" s="5" t="s">
        <v>1501</v>
      </c>
      <c r="G441" s="5">
        <v>359</v>
      </c>
      <c r="H441" s="5">
        <v>899</v>
      </c>
      <c r="I441" s="5" t="s">
        <v>223</v>
      </c>
      <c r="J441" s="5" t="s">
        <v>212</v>
      </c>
      <c r="K441" s="5">
        <v>3.9</v>
      </c>
      <c r="L441" s="5">
        <v>913</v>
      </c>
      <c r="M441" s="5">
        <v>0.6</v>
      </c>
      <c r="N441" s="5">
        <v>1138.6340612208289</v>
      </c>
      <c r="O441" s="5">
        <v>359</v>
      </c>
      <c r="P441" s="5" t="s">
        <v>212</v>
      </c>
      <c r="Q441" s="5" t="s">
        <v>55</v>
      </c>
      <c r="R441" s="5" t="s">
        <v>129</v>
      </c>
      <c r="S441" s="7" t="s">
        <v>1502</v>
      </c>
    </row>
    <row r="442" spans="1:19" x14ac:dyDescent="0.35">
      <c r="A442" s="6">
        <v>10074627</v>
      </c>
      <c r="B442" s="5" t="s">
        <v>169</v>
      </c>
      <c r="C442" s="5" t="s">
        <v>135</v>
      </c>
      <c r="D442" s="5" t="s">
        <v>168</v>
      </c>
      <c r="E442" s="5" t="s">
        <v>133</v>
      </c>
      <c r="F442" s="5" t="s">
        <v>1499</v>
      </c>
      <c r="G442" s="5">
        <v>509</v>
      </c>
      <c r="H442" s="5">
        <v>1499</v>
      </c>
      <c r="I442" s="5" t="s">
        <v>401</v>
      </c>
      <c r="J442" s="5" t="s">
        <v>150</v>
      </c>
      <c r="K442" s="5">
        <v>4.2</v>
      </c>
      <c r="L442" s="5">
        <v>913</v>
      </c>
      <c r="M442" s="5">
        <v>0.66</v>
      </c>
      <c r="N442" s="5">
        <v>1493.337491012077</v>
      </c>
      <c r="O442" s="5">
        <v>509</v>
      </c>
      <c r="P442" s="5" t="s">
        <v>150</v>
      </c>
      <c r="Q442" s="5" t="s">
        <v>55</v>
      </c>
      <c r="R442" s="5" t="s">
        <v>129</v>
      </c>
      <c r="S442" s="7" t="s">
        <v>1500</v>
      </c>
    </row>
    <row r="443" spans="1:19" x14ac:dyDescent="0.35">
      <c r="A443" s="6">
        <v>12069880</v>
      </c>
      <c r="B443" s="5" t="s">
        <v>1497</v>
      </c>
      <c r="C443" s="5" t="s">
        <v>273</v>
      </c>
      <c r="D443" s="5" t="s">
        <v>1496</v>
      </c>
      <c r="E443" s="5" t="s">
        <v>133</v>
      </c>
      <c r="F443" s="5" t="s">
        <v>1495</v>
      </c>
      <c r="G443" s="5">
        <v>707</v>
      </c>
      <c r="H443" s="5">
        <v>1199</v>
      </c>
      <c r="I443" s="5" t="s">
        <v>696</v>
      </c>
      <c r="J443" s="5" t="s">
        <v>572</v>
      </c>
      <c r="K443" s="5">
        <v>4</v>
      </c>
      <c r="L443" s="5">
        <v>913</v>
      </c>
      <c r="M443" s="5">
        <v>0.41</v>
      </c>
      <c r="N443" s="5">
        <v>811.90284167198604</v>
      </c>
      <c r="O443" s="5">
        <v>707</v>
      </c>
      <c r="P443" s="5" t="s">
        <v>572</v>
      </c>
      <c r="Q443" s="5" t="s">
        <v>57</v>
      </c>
      <c r="R443" s="5" t="s">
        <v>129</v>
      </c>
      <c r="S443" s="7" t="s">
        <v>1498</v>
      </c>
    </row>
    <row r="444" spans="1:19" x14ac:dyDescent="0.35">
      <c r="A444" s="6">
        <v>11416434</v>
      </c>
      <c r="B444" s="5" t="s">
        <v>1493</v>
      </c>
      <c r="C444" s="5" t="s">
        <v>273</v>
      </c>
      <c r="D444" s="5" t="s">
        <v>272</v>
      </c>
      <c r="E444" s="5" t="s">
        <v>133</v>
      </c>
      <c r="F444" s="5" t="s">
        <v>1492</v>
      </c>
      <c r="G444" s="5"/>
      <c r="H444" s="5">
        <v>445</v>
      </c>
      <c r="I444" s="5"/>
      <c r="J444" s="5" t="s">
        <v>327</v>
      </c>
      <c r="K444" s="5">
        <v>4.2</v>
      </c>
      <c r="L444" s="5">
        <v>913</v>
      </c>
      <c r="M444" s="5"/>
      <c r="N444" s="5">
        <v>811.90284167198604</v>
      </c>
      <c r="O444" s="5">
        <v>811.90284167198604</v>
      </c>
      <c r="P444" s="5" t="s">
        <v>327</v>
      </c>
      <c r="Q444" s="5" t="s">
        <v>57</v>
      </c>
      <c r="R444" s="5" t="s">
        <v>129</v>
      </c>
      <c r="S444" s="7" t="s">
        <v>1494</v>
      </c>
    </row>
    <row r="445" spans="1:19" x14ac:dyDescent="0.35">
      <c r="A445" s="6">
        <v>8126453</v>
      </c>
      <c r="B445" s="5" t="s">
        <v>239</v>
      </c>
      <c r="C445" s="5" t="s">
        <v>235</v>
      </c>
      <c r="D445" s="5" t="s">
        <v>194</v>
      </c>
      <c r="E445" s="5" t="s">
        <v>133</v>
      </c>
      <c r="F445" s="5" t="s">
        <v>1490</v>
      </c>
      <c r="G445" s="5">
        <v>524</v>
      </c>
      <c r="H445" s="5">
        <v>1749</v>
      </c>
      <c r="I445" s="5" t="s">
        <v>283</v>
      </c>
      <c r="J445" s="5" t="s">
        <v>237</v>
      </c>
      <c r="K445" s="5">
        <v>3.9</v>
      </c>
      <c r="L445" s="5">
        <v>913</v>
      </c>
      <c r="M445" s="5">
        <v>0.7</v>
      </c>
      <c r="N445" s="5">
        <v>923.69459774582197</v>
      </c>
      <c r="O445" s="5">
        <v>524</v>
      </c>
      <c r="P445" s="5" t="s">
        <v>237</v>
      </c>
      <c r="Q445" s="5" t="s">
        <v>55</v>
      </c>
      <c r="R445" s="5" t="s">
        <v>129</v>
      </c>
      <c r="S445" s="7" t="s">
        <v>1491</v>
      </c>
    </row>
    <row r="446" spans="1:19" x14ac:dyDescent="0.35">
      <c r="A446" s="6">
        <v>10106535</v>
      </c>
      <c r="B446" s="5" t="s">
        <v>152</v>
      </c>
      <c r="C446" s="5" t="s">
        <v>75</v>
      </c>
      <c r="D446" s="5" t="s">
        <v>418</v>
      </c>
      <c r="E446" s="5" t="s">
        <v>133</v>
      </c>
      <c r="F446" s="5" t="s">
        <v>1488</v>
      </c>
      <c r="G446" s="5">
        <v>599</v>
      </c>
      <c r="H446" s="5">
        <v>1499</v>
      </c>
      <c r="I446" s="5" t="s">
        <v>223</v>
      </c>
      <c r="J446" s="5" t="s">
        <v>222</v>
      </c>
      <c r="K446" s="5">
        <v>4.2</v>
      </c>
      <c r="L446" s="5">
        <v>913</v>
      </c>
      <c r="M446" s="5">
        <v>0.6</v>
      </c>
      <c r="N446" s="5">
        <v>1097.3783736315199</v>
      </c>
      <c r="O446" s="5">
        <v>599</v>
      </c>
      <c r="P446" s="5" t="s">
        <v>222</v>
      </c>
      <c r="Q446" s="5" t="s">
        <v>55</v>
      </c>
      <c r="R446" s="5" t="s">
        <v>129</v>
      </c>
      <c r="S446" s="7" t="s">
        <v>1489</v>
      </c>
    </row>
    <row r="447" spans="1:19" x14ac:dyDescent="0.35">
      <c r="A447" s="6">
        <v>7695782</v>
      </c>
      <c r="B447" s="5" t="s">
        <v>152</v>
      </c>
      <c r="C447" s="5" t="s">
        <v>75</v>
      </c>
      <c r="D447" s="5" t="s">
        <v>568</v>
      </c>
      <c r="E447" s="5" t="s">
        <v>133</v>
      </c>
      <c r="F447" s="5" t="s">
        <v>1486</v>
      </c>
      <c r="G447" s="5">
        <v>1149</v>
      </c>
      <c r="H447" s="5">
        <v>2299</v>
      </c>
      <c r="I447" s="5" t="s">
        <v>209</v>
      </c>
      <c r="J447" s="5" t="s">
        <v>196</v>
      </c>
      <c r="K447" s="5">
        <v>4.4000000000000004</v>
      </c>
      <c r="L447" s="5">
        <v>913</v>
      </c>
      <c r="M447" s="5">
        <v>0.5</v>
      </c>
      <c r="N447" s="5">
        <v>1097.3783736315199</v>
      </c>
      <c r="O447" s="5">
        <v>1149</v>
      </c>
      <c r="P447" s="5" t="s">
        <v>196</v>
      </c>
      <c r="Q447" s="5" t="s">
        <v>57</v>
      </c>
      <c r="R447" s="5" t="s">
        <v>129</v>
      </c>
      <c r="S447" s="7" t="s">
        <v>1487</v>
      </c>
    </row>
    <row r="448" spans="1:19" x14ac:dyDescent="0.35">
      <c r="A448" s="6">
        <v>12278628</v>
      </c>
      <c r="B448" s="5" t="s">
        <v>250</v>
      </c>
      <c r="C448" s="5" t="s">
        <v>163</v>
      </c>
      <c r="D448" s="5" t="s">
        <v>162</v>
      </c>
      <c r="E448" s="5" t="s">
        <v>133</v>
      </c>
      <c r="F448" s="5" t="s">
        <v>1484</v>
      </c>
      <c r="G448" s="5"/>
      <c r="H448" s="5">
        <v>1599</v>
      </c>
      <c r="I448" s="5" t="s">
        <v>36</v>
      </c>
      <c r="J448" s="5" t="s">
        <v>222</v>
      </c>
      <c r="K448" s="5">
        <v>4.3</v>
      </c>
      <c r="L448" s="5">
        <v>913</v>
      </c>
      <c r="M448" s="5">
        <v>0.45</v>
      </c>
      <c r="N448" s="5">
        <v>1790.0851063829789</v>
      </c>
      <c r="O448" s="5"/>
      <c r="P448" s="5" t="s">
        <v>222</v>
      </c>
      <c r="Q448" s="5" t="s">
        <v>57</v>
      </c>
      <c r="R448" s="5" t="s">
        <v>129</v>
      </c>
      <c r="S448" s="7" t="s">
        <v>1485</v>
      </c>
    </row>
    <row r="449" spans="1:19" x14ac:dyDescent="0.35">
      <c r="A449" s="6">
        <v>11271956</v>
      </c>
      <c r="B449" s="5" t="s">
        <v>200</v>
      </c>
      <c r="C449" s="5" t="s">
        <v>163</v>
      </c>
      <c r="D449" s="5" t="s">
        <v>194</v>
      </c>
      <c r="E449" s="5" t="s">
        <v>133</v>
      </c>
      <c r="F449" s="5" t="s">
        <v>1482</v>
      </c>
      <c r="G449" s="5"/>
      <c r="H449" s="5">
        <v>999</v>
      </c>
      <c r="I449" s="5" t="s">
        <v>218</v>
      </c>
      <c r="J449" s="5" t="s">
        <v>192</v>
      </c>
      <c r="K449" s="5">
        <v>4.5</v>
      </c>
      <c r="L449" s="5">
        <v>913</v>
      </c>
      <c r="M449" s="5">
        <v>0.3</v>
      </c>
      <c r="N449" s="5">
        <v>1790.0851063829789</v>
      </c>
      <c r="O449" s="5"/>
      <c r="P449" s="5" t="s">
        <v>192</v>
      </c>
      <c r="Q449" s="5" t="s">
        <v>57</v>
      </c>
      <c r="R449" s="5" t="s">
        <v>129</v>
      </c>
      <c r="S449" s="7" t="s">
        <v>1483</v>
      </c>
    </row>
    <row r="450" spans="1:19" x14ac:dyDescent="0.35">
      <c r="A450" s="6">
        <v>13957442</v>
      </c>
      <c r="B450" s="5" t="s">
        <v>190</v>
      </c>
      <c r="C450" s="5" t="s">
        <v>142</v>
      </c>
      <c r="D450" s="5" t="s">
        <v>141</v>
      </c>
      <c r="E450" s="5" t="s">
        <v>140</v>
      </c>
      <c r="F450" s="5" t="s">
        <v>1480</v>
      </c>
      <c r="G450" s="5">
        <v>479</v>
      </c>
      <c r="H450" s="5">
        <v>1199</v>
      </c>
      <c r="I450" s="5" t="s">
        <v>223</v>
      </c>
      <c r="J450" s="5" t="s">
        <v>145</v>
      </c>
      <c r="K450" s="5">
        <v>4.2</v>
      </c>
      <c r="L450" s="5">
        <v>912</v>
      </c>
      <c r="M450" s="5">
        <v>0.6</v>
      </c>
      <c r="N450" s="5">
        <v>1138.6340612208289</v>
      </c>
      <c r="O450" s="5">
        <v>479</v>
      </c>
      <c r="P450" s="5" t="s">
        <v>145</v>
      </c>
      <c r="Q450" s="5" t="s">
        <v>55</v>
      </c>
      <c r="R450" s="5" t="s">
        <v>129</v>
      </c>
      <c r="S450" s="7" t="s">
        <v>1481</v>
      </c>
    </row>
    <row r="451" spans="1:19" x14ac:dyDescent="0.35">
      <c r="A451" s="6">
        <v>9717187</v>
      </c>
      <c r="B451" s="5" t="s">
        <v>1478</v>
      </c>
      <c r="C451" s="5" t="s">
        <v>135</v>
      </c>
      <c r="D451" s="5" t="s">
        <v>194</v>
      </c>
      <c r="E451" s="5" t="s">
        <v>133</v>
      </c>
      <c r="F451" s="5" t="s">
        <v>1477</v>
      </c>
      <c r="G451" s="5">
        <v>899</v>
      </c>
      <c r="H451" s="5">
        <v>1799</v>
      </c>
      <c r="I451" s="5" t="s">
        <v>209</v>
      </c>
      <c r="J451" s="5" t="s">
        <v>212</v>
      </c>
      <c r="K451" s="5">
        <v>4.0999999999999996</v>
      </c>
      <c r="L451" s="5">
        <v>912</v>
      </c>
      <c r="M451" s="5">
        <v>0.5</v>
      </c>
      <c r="N451" s="5">
        <v>1493.337491012077</v>
      </c>
      <c r="O451" s="5">
        <v>899</v>
      </c>
      <c r="P451" s="5" t="s">
        <v>212</v>
      </c>
      <c r="Q451" s="5" t="s">
        <v>57</v>
      </c>
      <c r="R451" s="5" t="s">
        <v>129</v>
      </c>
      <c r="S451" s="7" t="s">
        <v>1479</v>
      </c>
    </row>
    <row r="452" spans="1:19" x14ac:dyDescent="0.35">
      <c r="A452" s="6">
        <v>9314595</v>
      </c>
      <c r="B452" s="5" t="s">
        <v>443</v>
      </c>
      <c r="C452" s="5" t="s">
        <v>273</v>
      </c>
      <c r="D452" s="5" t="s">
        <v>272</v>
      </c>
      <c r="E452" s="5" t="s">
        <v>133</v>
      </c>
      <c r="F452" s="5" t="s">
        <v>1475</v>
      </c>
      <c r="G452" s="5"/>
      <c r="H452" s="5">
        <v>799</v>
      </c>
      <c r="I452" s="5"/>
      <c r="J452" s="5" t="s">
        <v>1474</v>
      </c>
      <c r="K452" s="5">
        <v>4.5</v>
      </c>
      <c r="L452" s="5">
        <v>912</v>
      </c>
      <c r="M452" s="5"/>
      <c r="N452" s="5">
        <v>811.90284167198604</v>
      </c>
      <c r="O452" s="5">
        <v>811.90284167198604</v>
      </c>
      <c r="P452" s="5" t="s">
        <v>1474</v>
      </c>
      <c r="Q452" s="5" t="s">
        <v>57</v>
      </c>
      <c r="R452" s="5" t="s">
        <v>129</v>
      </c>
      <c r="S452" s="7" t="s">
        <v>1476</v>
      </c>
    </row>
    <row r="453" spans="1:19" x14ac:dyDescent="0.35">
      <c r="A453" s="6">
        <v>12876646</v>
      </c>
      <c r="B453" s="5" t="s">
        <v>164</v>
      </c>
      <c r="C453" s="5" t="s">
        <v>163</v>
      </c>
      <c r="D453" s="5" t="s">
        <v>162</v>
      </c>
      <c r="E453" s="5" t="s">
        <v>133</v>
      </c>
      <c r="F453" s="5" t="s">
        <v>1472</v>
      </c>
      <c r="G453" s="5"/>
      <c r="H453" s="5">
        <v>1699</v>
      </c>
      <c r="I453" s="5" t="s">
        <v>319</v>
      </c>
      <c r="J453" s="5" t="s">
        <v>505</v>
      </c>
      <c r="K453" s="5">
        <v>4.0999999999999996</v>
      </c>
      <c r="L453" s="5">
        <v>912</v>
      </c>
      <c r="M453" s="5">
        <v>0.57999999999999996</v>
      </c>
      <c r="N453" s="5">
        <v>1790.0851063829789</v>
      </c>
      <c r="O453" s="5"/>
      <c r="P453" s="5" t="s">
        <v>505</v>
      </c>
      <c r="Q453" s="5" t="s">
        <v>55</v>
      </c>
      <c r="R453" s="5" t="s">
        <v>129</v>
      </c>
      <c r="S453" s="7" t="s">
        <v>1473</v>
      </c>
    </row>
    <row r="454" spans="1:19" x14ac:dyDescent="0.35">
      <c r="A454" s="6">
        <v>9339767</v>
      </c>
      <c r="B454" s="5" t="s">
        <v>450</v>
      </c>
      <c r="C454" s="5" t="s">
        <v>163</v>
      </c>
      <c r="D454" s="5" t="s">
        <v>194</v>
      </c>
      <c r="E454" s="5" t="s">
        <v>133</v>
      </c>
      <c r="F454" s="5" t="s">
        <v>1470</v>
      </c>
      <c r="G454" s="5"/>
      <c r="H454" s="5">
        <v>1998</v>
      </c>
      <c r="I454" s="5" t="s">
        <v>209</v>
      </c>
      <c r="J454" s="5" t="s">
        <v>212</v>
      </c>
      <c r="K454" s="5">
        <v>4.0999999999999996</v>
      </c>
      <c r="L454" s="5">
        <v>912</v>
      </c>
      <c r="M454" s="5">
        <v>0.5</v>
      </c>
      <c r="N454" s="5">
        <v>1790.0851063829789</v>
      </c>
      <c r="O454" s="5"/>
      <c r="P454" s="5" t="s">
        <v>212</v>
      </c>
      <c r="Q454" s="5" t="s">
        <v>57</v>
      </c>
      <c r="R454" s="5" t="s">
        <v>129</v>
      </c>
      <c r="S454" s="7" t="s">
        <v>1471</v>
      </c>
    </row>
    <row r="455" spans="1:19" x14ac:dyDescent="0.35">
      <c r="A455" s="6">
        <v>13581108</v>
      </c>
      <c r="B455" s="5" t="s">
        <v>472</v>
      </c>
      <c r="C455" s="5" t="s">
        <v>163</v>
      </c>
      <c r="D455" s="5" t="s">
        <v>228</v>
      </c>
      <c r="E455" s="5" t="s">
        <v>133</v>
      </c>
      <c r="F455" s="5" t="s">
        <v>1468</v>
      </c>
      <c r="G455" s="5"/>
      <c r="H455" s="5">
        <v>2299</v>
      </c>
      <c r="I455" s="5" t="s">
        <v>209</v>
      </c>
      <c r="J455" s="5" t="s">
        <v>196</v>
      </c>
      <c r="K455" s="5">
        <v>4</v>
      </c>
      <c r="L455" s="5">
        <v>912</v>
      </c>
      <c r="M455" s="5">
        <v>0.5</v>
      </c>
      <c r="N455" s="5">
        <v>1790.0851063829789</v>
      </c>
      <c r="O455" s="5"/>
      <c r="P455" s="5" t="s">
        <v>196</v>
      </c>
      <c r="Q455" s="5" t="s">
        <v>57</v>
      </c>
      <c r="R455" s="5" t="s">
        <v>129</v>
      </c>
      <c r="S455" s="7" t="s">
        <v>1469</v>
      </c>
    </row>
    <row r="456" spans="1:19" x14ac:dyDescent="0.35">
      <c r="A456" s="6">
        <v>9304671</v>
      </c>
      <c r="B456" s="5" t="s">
        <v>302</v>
      </c>
      <c r="C456" s="5" t="s">
        <v>135</v>
      </c>
      <c r="D456" s="5" t="s">
        <v>168</v>
      </c>
      <c r="E456" s="5" t="s">
        <v>140</v>
      </c>
      <c r="F456" s="5" t="s">
        <v>1466</v>
      </c>
      <c r="G456" s="5">
        <v>839</v>
      </c>
      <c r="H456" s="5">
        <v>2099</v>
      </c>
      <c r="I456" s="5" t="s">
        <v>223</v>
      </c>
      <c r="J456" s="5" t="s">
        <v>150</v>
      </c>
      <c r="K456" s="5">
        <v>3.8</v>
      </c>
      <c r="L456" s="5">
        <v>911</v>
      </c>
      <c r="M456" s="5">
        <v>0.6</v>
      </c>
      <c r="N456" s="5">
        <v>1493.337491012077</v>
      </c>
      <c r="O456" s="5">
        <v>839</v>
      </c>
      <c r="P456" s="5" t="s">
        <v>150</v>
      </c>
      <c r="Q456" s="5" t="s">
        <v>55</v>
      </c>
      <c r="R456" s="5" t="s">
        <v>129</v>
      </c>
      <c r="S456" s="7" t="s">
        <v>1467</v>
      </c>
    </row>
    <row r="457" spans="1:19" x14ac:dyDescent="0.35">
      <c r="A457" s="6">
        <v>2337949</v>
      </c>
      <c r="B457" s="5" t="s">
        <v>250</v>
      </c>
      <c r="C457" s="5" t="s">
        <v>142</v>
      </c>
      <c r="D457" s="5" t="s">
        <v>77</v>
      </c>
      <c r="E457" s="5" t="s">
        <v>140</v>
      </c>
      <c r="F457" s="5" t="s">
        <v>1464</v>
      </c>
      <c r="G457" s="5"/>
      <c r="H457" s="5">
        <v>404</v>
      </c>
      <c r="I457" s="5"/>
      <c r="J457" s="5" t="s">
        <v>458</v>
      </c>
      <c r="K457" s="5">
        <v>4.2</v>
      </c>
      <c r="L457" s="5">
        <v>911</v>
      </c>
      <c r="M457" s="5"/>
      <c r="N457" s="5">
        <v>1138.6340612208289</v>
      </c>
      <c r="O457" s="5">
        <v>1138.6340612208289</v>
      </c>
      <c r="P457" s="5" t="s">
        <v>458</v>
      </c>
      <c r="Q457" s="5" t="s">
        <v>57</v>
      </c>
      <c r="R457" s="5" t="s">
        <v>129</v>
      </c>
      <c r="S457" s="7" t="s">
        <v>1465</v>
      </c>
    </row>
    <row r="458" spans="1:19" x14ac:dyDescent="0.35">
      <c r="A458" s="6">
        <v>17381350</v>
      </c>
      <c r="B458" s="5" t="s">
        <v>250</v>
      </c>
      <c r="C458" s="5" t="s">
        <v>163</v>
      </c>
      <c r="D458" s="5" t="s">
        <v>77</v>
      </c>
      <c r="E458" s="5" t="s">
        <v>133</v>
      </c>
      <c r="F458" s="5" t="s">
        <v>1462</v>
      </c>
      <c r="G458" s="5"/>
      <c r="H458" s="5">
        <v>1198</v>
      </c>
      <c r="I458" s="5" t="s">
        <v>209</v>
      </c>
      <c r="J458" s="5" t="s">
        <v>192</v>
      </c>
      <c r="K458" s="5">
        <v>4.3</v>
      </c>
      <c r="L458" s="5">
        <v>911</v>
      </c>
      <c r="M458" s="5">
        <v>0.5</v>
      </c>
      <c r="N458" s="5">
        <v>1790.0851063829789</v>
      </c>
      <c r="O458" s="5"/>
      <c r="P458" s="5" t="s">
        <v>192</v>
      </c>
      <c r="Q458" s="5" t="s">
        <v>57</v>
      </c>
      <c r="R458" s="5" t="s">
        <v>129</v>
      </c>
      <c r="S458" s="7" t="s">
        <v>1463</v>
      </c>
    </row>
    <row r="459" spans="1:19" x14ac:dyDescent="0.35">
      <c r="A459" s="6">
        <v>11182738</v>
      </c>
      <c r="B459" s="5" t="s">
        <v>200</v>
      </c>
      <c r="C459" s="5" t="s">
        <v>163</v>
      </c>
      <c r="D459" s="5" t="s">
        <v>194</v>
      </c>
      <c r="E459" s="5" t="s">
        <v>133</v>
      </c>
      <c r="F459" s="5" t="s">
        <v>1460</v>
      </c>
      <c r="G459" s="5"/>
      <c r="H459" s="5">
        <v>1299</v>
      </c>
      <c r="I459" s="5" t="s">
        <v>209</v>
      </c>
      <c r="J459" s="5" t="s">
        <v>192</v>
      </c>
      <c r="K459" s="5">
        <v>4.4000000000000004</v>
      </c>
      <c r="L459" s="5">
        <v>911</v>
      </c>
      <c r="M459" s="5">
        <v>0.5</v>
      </c>
      <c r="N459" s="5">
        <v>1790.0851063829789</v>
      </c>
      <c r="O459" s="5"/>
      <c r="P459" s="5" t="s">
        <v>192</v>
      </c>
      <c r="Q459" s="5" t="s">
        <v>57</v>
      </c>
      <c r="R459" s="5" t="s">
        <v>129</v>
      </c>
      <c r="S459" s="7" t="s">
        <v>1461</v>
      </c>
    </row>
    <row r="460" spans="1:19" x14ac:dyDescent="0.35">
      <c r="A460" s="6">
        <v>12193758</v>
      </c>
      <c r="B460" s="5" t="s">
        <v>250</v>
      </c>
      <c r="C460" s="5" t="s">
        <v>163</v>
      </c>
      <c r="D460" s="5" t="s">
        <v>77</v>
      </c>
      <c r="E460" s="5" t="s">
        <v>133</v>
      </c>
      <c r="F460" s="5" t="s">
        <v>1458</v>
      </c>
      <c r="G460" s="5"/>
      <c r="H460" s="5">
        <v>999</v>
      </c>
      <c r="I460" s="5"/>
      <c r="J460" s="5" t="s">
        <v>192</v>
      </c>
      <c r="K460" s="5">
        <v>4.3</v>
      </c>
      <c r="L460" s="5">
        <v>911</v>
      </c>
      <c r="M460" s="5"/>
      <c r="N460" s="5">
        <v>1790.0851063829789</v>
      </c>
      <c r="O460" s="5">
        <v>1790.0851063829789</v>
      </c>
      <c r="P460" s="5" t="s">
        <v>192</v>
      </c>
      <c r="Q460" s="5" t="s">
        <v>57</v>
      </c>
      <c r="R460" s="5" t="s">
        <v>129</v>
      </c>
      <c r="S460" s="7" t="s">
        <v>1459</v>
      </c>
    </row>
    <row r="461" spans="1:19" x14ac:dyDescent="0.35">
      <c r="A461" s="6">
        <v>1155795</v>
      </c>
      <c r="B461" s="5" t="s">
        <v>339</v>
      </c>
      <c r="C461" s="5" t="s">
        <v>142</v>
      </c>
      <c r="D461" s="5" t="s">
        <v>141</v>
      </c>
      <c r="E461" s="5" t="s">
        <v>140</v>
      </c>
      <c r="F461" s="5" t="s">
        <v>1456</v>
      </c>
      <c r="G461" s="5">
        <v>719</v>
      </c>
      <c r="H461" s="5">
        <v>1599</v>
      </c>
      <c r="I461" s="5" t="s">
        <v>178</v>
      </c>
      <c r="J461" s="5" t="s">
        <v>348</v>
      </c>
      <c r="K461" s="5">
        <v>4.2</v>
      </c>
      <c r="L461" s="5">
        <v>910</v>
      </c>
      <c r="M461" s="5">
        <v>0.55000000000000004</v>
      </c>
      <c r="N461" s="5">
        <v>1138.6340612208289</v>
      </c>
      <c r="O461" s="5">
        <v>719</v>
      </c>
      <c r="P461" s="5" t="s">
        <v>348</v>
      </c>
      <c r="Q461" s="5" t="s">
        <v>55</v>
      </c>
      <c r="R461" s="5" t="s">
        <v>129</v>
      </c>
      <c r="S461" s="7" t="s">
        <v>1457</v>
      </c>
    </row>
    <row r="462" spans="1:19" x14ac:dyDescent="0.35">
      <c r="A462" s="6">
        <v>8349181</v>
      </c>
      <c r="B462" s="5" t="s">
        <v>180</v>
      </c>
      <c r="C462" s="5" t="s">
        <v>135</v>
      </c>
      <c r="D462" s="5" t="s">
        <v>168</v>
      </c>
      <c r="E462" s="5" t="s">
        <v>133</v>
      </c>
      <c r="F462" s="5" t="s">
        <v>1454</v>
      </c>
      <c r="G462" s="5">
        <v>584</v>
      </c>
      <c r="H462" s="5">
        <v>1299</v>
      </c>
      <c r="I462" s="5" t="s">
        <v>178</v>
      </c>
      <c r="J462" s="5" t="s">
        <v>177</v>
      </c>
      <c r="K462" s="5">
        <v>4.0999999999999996</v>
      </c>
      <c r="L462" s="5">
        <v>910</v>
      </c>
      <c r="M462" s="5">
        <v>0.55000000000000004</v>
      </c>
      <c r="N462" s="5">
        <v>1493.337491012077</v>
      </c>
      <c r="O462" s="5">
        <v>584</v>
      </c>
      <c r="P462" s="5" t="s">
        <v>177</v>
      </c>
      <c r="Q462" s="5" t="s">
        <v>55</v>
      </c>
      <c r="R462" s="5" t="s">
        <v>129</v>
      </c>
      <c r="S462" s="7" t="s">
        <v>1455</v>
      </c>
    </row>
    <row r="463" spans="1:19" x14ac:dyDescent="0.35">
      <c r="A463" s="6">
        <v>12820436</v>
      </c>
      <c r="B463" s="5" t="s">
        <v>1452</v>
      </c>
      <c r="C463" s="5" t="s">
        <v>273</v>
      </c>
      <c r="D463" s="5" t="s">
        <v>155</v>
      </c>
      <c r="E463" s="5" t="s">
        <v>133</v>
      </c>
      <c r="F463" s="5" t="s">
        <v>1451</v>
      </c>
      <c r="G463" s="5">
        <v>549</v>
      </c>
      <c r="H463" s="5">
        <v>1099</v>
      </c>
      <c r="I463" s="5" t="s">
        <v>1450</v>
      </c>
      <c r="J463" s="5" t="s">
        <v>212</v>
      </c>
      <c r="K463" s="5">
        <v>4.2</v>
      </c>
      <c r="L463" s="5">
        <v>910</v>
      </c>
      <c r="M463" s="5">
        <v>0.5</v>
      </c>
      <c r="N463" s="5">
        <v>811.90284167198604</v>
      </c>
      <c r="O463" s="5">
        <v>549</v>
      </c>
      <c r="P463" s="5" t="s">
        <v>212</v>
      </c>
      <c r="Q463" s="5" t="s">
        <v>57</v>
      </c>
      <c r="R463" s="5" t="s">
        <v>129</v>
      </c>
      <c r="S463" s="7" t="s">
        <v>1453</v>
      </c>
    </row>
    <row r="464" spans="1:19" x14ac:dyDescent="0.35">
      <c r="A464" s="6">
        <v>11818414</v>
      </c>
      <c r="B464" s="5" t="s">
        <v>883</v>
      </c>
      <c r="C464" s="5" t="s">
        <v>273</v>
      </c>
      <c r="D464" s="5" t="s">
        <v>272</v>
      </c>
      <c r="E464" s="5" t="s">
        <v>133</v>
      </c>
      <c r="F464" s="5" t="s">
        <v>1448</v>
      </c>
      <c r="G464" s="5"/>
      <c r="H464" s="5">
        <v>729</v>
      </c>
      <c r="I464" s="5"/>
      <c r="J464" s="5" t="s">
        <v>327</v>
      </c>
      <c r="K464" s="5">
        <v>4.4000000000000004</v>
      </c>
      <c r="L464" s="5">
        <v>910</v>
      </c>
      <c r="M464" s="5"/>
      <c r="N464" s="5">
        <v>811.90284167198604</v>
      </c>
      <c r="O464" s="5">
        <v>811.90284167198604</v>
      </c>
      <c r="P464" s="5" t="s">
        <v>327</v>
      </c>
      <c r="Q464" s="5" t="s">
        <v>57</v>
      </c>
      <c r="R464" s="5" t="s">
        <v>129</v>
      </c>
      <c r="S464" s="7" t="s">
        <v>1449</v>
      </c>
    </row>
    <row r="465" spans="1:19" x14ac:dyDescent="0.35">
      <c r="A465" s="6">
        <v>7477729</v>
      </c>
      <c r="B465" s="5" t="s">
        <v>475</v>
      </c>
      <c r="C465" s="5" t="s">
        <v>163</v>
      </c>
      <c r="D465" s="5" t="s">
        <v>194</v>
      </c>
      <c r="E465" s="5" t="s">
        <v>133</v>
      </c>
      <c r="F465" s="5" t="s">
        <v>1446</v>
      </c>
      <c r="G465" s="5"/>
      <c r="H465" s="5">
        <v>1170</v>
      </c>
      <c r="I465" s="5" t="s">
        <v>223</v>
      </c>
      <c r="J465" s="5" t="s">
        <v>422</v>
      </c>
      <c r="K465" s="5">
        <v>4.0999999999999996</v>
      </c>
      <c r="L465" s="5">
        <v>910</v>
      </c>
      <c r="M465" s="5">
        <v>0.6</v>
      </c>
      <c r="N465" s="5">
        <v>1790.0851063829789</v>
      </c>
      <c r="O465" s="5"/>
      <c r="P465" s="5" t="s">
        <v>422</v>
      </c>
      <c r="Q465" s="5" t="s">
        <v>55</v>
      </c>
      <c r="R465" s="5" t="s">
        <v>129</v>
      </c>
      <c r="S465" s="7" t="s">
        <v>1447</v>
      </c>
    </row>
    <row r="466" spans="1:19" x14ac:dyDescent="0.35">
      <c r="A466" s="6">
        <v>10307987</v>
      </c>
      <c r="B466" s="5" t="s">
        <v>460</v>
      </c>
      <c r="C466" s="5" t="s">
        <v>135</v>
      </c>
      <c r="D466" s="5" t="s">
        <v>168</v>
      </c>
      <c r="E466" s="5" t="s">
        <v>140</v>
      </c>
      <c r="F466" s="5" t="s">
        <v>1444</v>
      </c>
      <c r="G466" s="5">
        <v>599</v>
      </c>
      <c r="H466" s="5">
        <v>1499</v>
      </c>
      <c r="I466" s="5" t="s">
        <v>223</v>
      </c>
      <c r="J466" s="5" t="s">
        <v>150</v>
      </c>
      <c r="K466" s="5">
        <v>4.2</v>
      </c>
      <c r="L466" s="5">
        <v>909</v>
      </c>
      <c r="M466" s="5">
        <v>0.6</v>
      </c>
      <c r="N466" s="5">
        <v>1493.337491012077</v>
      </c>
      <c r="O466" s="5">
        <v>599</v>
      </c>
      <c r="P466" s="5" t="s">
        <v>150</v>
      </c>
      <c r="Q466" s="5" t="s">
        <v>55</v>
      </c>
      <c r="R466" s="5" t="s">
        <v>129</v>
      </c>
      <c r="S466" s="7" t="s">
        <v>1445</v>
      </c>
    </row>
    <row r="467" spans="1:19" x14ac:dyDescent="0.35">
      <c r="A467" s="6">
        <v>1427701</v>
      </c>
      <c r="B467" s="5" t="s">
        <v>183</v>
      </c>
      <c r="C467" s="5" t="s">
        <v>142</v>
      </c>
      <c r="D467" s="5" t="s">
        <v>141</v>
      </c>
      <c r="E467" s="5" t="s">
        <v>140</v>
      </c>
      <c r="F467" s="5" t="s">
        <v>1442</v>
      </c>
      <c r="G467" s="5">
        <v>1149</v>
      </c>
      <c r="H467" s="5">
        <v>2299</v>
      </c>
      <c r="I467" s="5" t="s">
        <v>209</v>
      </c>
      <c r="J467" s="5" t="s">
        <v>208</v>
      </c>
      <c r="K467" s="5">
        <v>4.0999999999999996</v>
      </c>
      <c r="L467" s="5">
        <v>909</v>
      </c>
      <c r="M467" s="5">
        <v>0.5</v>
      </c>
      <c r="N467" s="5">
        <v>1138.6340612208289</v>
      </c>
      <c r="O467" s="5">
        <v>1149</v>
      </c>
      <c r="P467" s="5" t="s">
        <v>208</v>
      </c>
      <c r="Q467" s="5" t="s">
        <v>57</v>
      </c>
      <c r="R467" s="5" t="s">
        <v>129</v>
      </c>
      <c r="S467" s="7" t="s">
        <v>1443</v>
      </c>
    </row>
    <row r="468" spans="1:19" x14ac:dyDescent="0.35">
      <c r="A468" s="6">
        <v>10617850</v>
      </c>
      <c r="B468" s="5" t="s">
        <v>250</v>
      </c>
      <c r="C468" s="5" t="s">
        <v>142</v>
      </c>
      <c r="D468" s="5" t="s">
        <v>493</v>
      </c>
      <c r="E468" s="5" t="s">
        <v>140</v>
      </c>
      <c r="F468" s="5" t="s">
        <v>1440</v>
      </c>
      <c r="G468" s="5"/>
      <c r="H468" s="5">
        <v>2999</v>
      </c>
      <c r="I468" s="5"/>
      <c r="J468" s="5" t="s">
        <v>391</v>
      </c>
      <c r="K468" s="5">
        <v>4.3</v>
      </c>
      <c r="L468" s="5">
        <v>909</v>
      </c>
      <c r="M468" s="5"/>
      <c r="N468" s="5">
        <v>1138.6340612208289</v>
      </c>
      <c r="O468" s="5">
        <v>1138.6340612208289</v>
      </c>
      <c r="P468" s="5" t="s">
        <v>391</v>
      </c>
      <c r="Q468" s="5" t="s">
        <v>57</v>
      </c>
      <c r="R468" s="5" t="s">
        <v>129</v>
      </c>
      <c r="S468" s="7" t="s">
        <v>1441</v>
      </c>
    </row>
    <row r="469" spans="1:19" x14ac:dyDescent="0.35">
      <c r="A469" s="6">
        <v>8420231</v>
      </c>
      <c r="B469" s="5" t="s">
        <v>180</v>
      </c>
      <c r="C469" s="5" t="s">
        <v>235</v>
      </c>
      <c r="D469" s="5" t="s">
        <v>168</v>
      </c>
      <c r="E469" s="5" t="s">
        <v>133</v>
      </c>
      <c r="F469" s="5" t="s">
        <v>1438</v>
      </c>
      <c r="G469" s="5">
        <v>649</v>
      </c>
      <c r="H469" s="5">
        <v>1299</v>
      </c>
      <c r="I469" s="5" t="s">
        <v>209</v>
      </c>
      <c r="J469" s="5" t="s">
        <v>196</v>
      </c>
      <c r="K469" s="5">
        <v>4.5</v>
      </c>
      <c r="L469" s="5">
        <v>909</v>
      </c>
      <c r="M469" s="5">
        <v>0.5</v>
      </c>
      <c r="N469" s="5">
        <v>923.69459774582197</v>
      </c>
      <c r="O469" s="5">
        <v>649</v>
      </c>
      <c r="P469" s="5" t="s">
        <v>196</v>
      </c>
      <c r="Q469" s="5" t="s">
        <v>57</v>
      </c>
      <c r="R469" s="5" t="s">
        <v>129</v>
      </c>
      <c r="S469" s="7" t="s">
        <v>1439</v>
      </c>
    </row>
    <row r="470" spans="1:19" x14ac:dyDescent="0.35">
      <c r="A470" s="6">
        <v>17523394</v>
      </c>
      <c r="B470" s="5" t="s">
        <v>225</v>
      </c>
      <c r="C470" s="5" t="s">
        <v>163</v>
      </c>
      <c r="D470" s="5" t="s">
        <v>77</v>
      </c>
      <c r="E470" s="5" t="s">
        <v>133</v>
      </c>
      <c r="F470" s="5" t="s">
        <v>1436</v>
      </c>
      <c r="G470" s="5"/>
      <c r="H470" s="5">
        <v>1398</v>
      </c>
      <c r="I470" s="5" t="s">
        <v>209</v>
      </c>
      <c r="J470" s="5" t="s">
        <v>192</v>
      </c>
      <c r="K470" s="5">
        <v>4.4000000000000004</v>
      </c>
      <c r="L470" s="5">
        <v>909</v>
      </c>
      <c r="M470" s="5">
        <v>0.5</v>
      </c>
      <c r="N470" s="5">
        <v>1790.0851063829789</v>
      </c>
      <c r="O470" s="5"/>
      <c r="P470" s="5" t="s">
        <v>192</v>
      </c>
      <c r="Q470" s="5" t="s">
        <v>57</v>
      </c>
      <c r="R470" s="5" t="s">
        <v>129</v>
      </c>
      <c r="S470" s="7" t="s">
        <v>1437</v>
      </c>
    </row>
    <row r="471" spans="1:19" x14ac:dyDescent="0.35">
      <c r="A471" s="6">
        <v>17384216</v>
      </c>
      <c r="B471" s="5" t="s">
        <v>250</v>
      </c>
      <c r="C471" s="5" t="s">
        <v>163</v>
      </c>
      <c r="D471" s="5" t="s">
        <v>77</v>
      </c>
      <c r="E471" s="5" t="s">
        <v>133</v>
      </c>
      <c r="F471" s="5" t="s">
        <v>1186</v>
      </c>
      <c r="G471" s="5"/>
      <c r="H471" s="5">
        <v>1398</v>
      </c>
      <c r="I471" s="5" t="s">
        <v>209</v>
      </c>
      <c r="J471" s="5" t="s">
        <v>192</v>
      </c>
      <c r="K471" s="5">
        <v>4.0999999999999996</v>
      </c>
      <c r="L471" s="5">
        <v>909</v>
      </c>
      <c r="M471" s="5">
        <v>0.5</v>
      </c>
      <c r="N471" s="5">
        <v>1790.0851063829789</v>
      </c>
      <c r="O471" s="5"/>
      <c r="P471" s="5" t="s">
        <v>192</v>
      </c>
      <c r="Q471" s="5" t="s">
        <v>57</v>
      </c>
      <c r="R471" s="5" t="s">
        <v>129</v>
      </c>
      <c r="S471" s="7" t="s">
        <v>1435</v>
      </c>
    </row>
    <row r="472" spans="1:19" x14ac:dyDescent="0.35">
      <c r="A472" s="6">
        <v>9478295</v>
      </c>
      <c r="B472" s="5" t="s">
        <v>250</v>
      </c>
      <c r="C472" s="5" t="s">
        <v>163</v>
      </c>
      <c r="D472" s="5" t="s">
        <v>215</v>
      </c>
      <c r="E472" s="5" t="s">
        <v>133</v>
      </c>
      <c r="F472" s="5" t="s">
        <v>1433</v>
      </c>
      <c r="G472" s="5"/>
      <c r="H472" s="5">
        <v>1599</v>
      </c>
      <c r="I472" s="5" t="s">
        <v>197</v>
      </c>
      <c r="J472" s="5" t="s">
        <v>196</v>
      </c>
      <c r="K472" s="5">
        <v>3.9</v>
      </c>
      <c r="L472" s="5">
        <v>909</v>
      </c>
      <c r="M472" s="5">
        <v>0.65</v>
      </c>
      <c r="N472" s="5">
        <v>1790.0851063829789</v>
      </c>
      <c r="O472" s="5"/>
      <c r="P472" s="5" t="s">
        <v>196</v>
      </c>
      <c r="Q472" s="5" t="s">
        <v>55</v>
      </c>
      <c r="R472" s="5" t="s">
        <v>129</v>
      </c>
      <c r="S472" s="7" t="s">
        <v>1434</v>
      </c>
    </row>
    <row r="473" spans="1:19" x14ac:dyDescent="0.35">
      <c r="A473" s="6">
        <v>4924933</v>
      </c>
      <c r="B473" s="5" t="s">
        <v>164</v>
      </c>
      <c r="C473" s="5" t="s">
        <v>163</v>
      </c>
      <c r="D473" s="5" t="s">
        <v>228</v>
      </c>
      <c r="E473" s="5" t="s">
        <v>133</v>
      </c>
      <c r="F473" s="5" t="s">
        <v>1431</v>
      </c>
      <c r="G473" s="5"/>
      <c r="H473" s="5">
        <v>2149</v>
      </c>
      <c r="I473" s="5" t="s">
        <v>186</v>
      </c>
      <c r="J473" s="5" t="s">
        <v>212</v>
      </c>
      <c r="K473" s="5">
        <v>3.9</v>
      </c>
      <c r="L473" s="5">
        <v>909</v>
      </c>
      <c r="M473" s="5">
        <v>0.61</v>
      </c>
      <c r="N473" s="5">
        <v>1790.0851063829789</v>
      </c>
      <c r="O473" s="5"/>
      <c r="P473" s="5" t="s">
        <v>212</v>
      </c>
      <c r="Q473" s="5" t="s">
        <v>55</v>
      </c>
      <c r="R473" s="5" t="s">
        <v>129</v>
      </c>
      <c r="S473" s="7" t="s">
        <v>1432</v>
      </c>
    </row>
    <row r="474" spans="1:19" x14ac:dyDescent="0.35">
      <c r="A474" s="6">
        <v>9200817</v>
      </c>
      <c r="B474" s="5" t="s">
        <v>65</v>
      </c>
      <c r="C474" s="5" t="s">
        <v>142</v>
      </c>
      <c r="D474" s="5" t="s">
        <v>77</v>
      </c>
      <c r="E474" s="5" t="s">
        <v>140</v>
      </c>
      <c r="F474" s="5" t="s">
        <v>1429</v>
      </c>
      <c r="G474" s="5">
        <v>381</v>
      </c>
      <c r="H474" s="5">
        <v>779</v>
      </c>
      <c r="I474" s="5" t="s">
        <v>279</v>
      </c>
      <c r="J474" s="5" t="s">
        <v>212</v>
      </c>
      <c r="K474" s="5">
        <v>4</v>
      </c>
      <c r="L474" s="5">
        <v>908</v>
      </c>
      <c r="M474" s="5">
        <v>0.51</v>
      </c>
      <c r="N474" s="5">
        <v>1138.6340612208289</v>
      </c>
      <c r="O474" s="5">
        <v>381</v>
      </c>
      <c r="P474" s="5" t="s">
        <v>212</v>
      </c>
      <c r="Q474" s="5" t="s">
        <v>55</v>
      </c>
      <c r="R474" s="5" t="s">
        <v>129</v>
      </c>
      <c r="S474" s="7" t="s">
        <v>1430</v>
      </c>
    </row>
    <row r="475" spans="1:19" x14ac:dyDescent="0.35">
      <c r="A475" s="6">
        <v>7193789</v>
      </c>
      <c r="B475" s="5" t="s">
        <v>479</v>
      </c>
      <c r="C475" s="5" t="s">
        <v>135</v>
      </c>
      <c r="D475" s="5" t="s">
        <v>228</v>
      </c>
      <c r="E475" s="5" t="s">
        <v>133</v>
      </c>
      <c r="F475" s="5" t="s">
        <v>1427</v>
      </c>
      <c r="G475" s="5">
        <v>999</v>
      </c>
      <c r="H475" s="5">
        <v>2455</v>
      </c>
      <c r="I475" s="5" t="s">
        <v>1426</v>
      </c>
      <c r="J475" s="5" t="s">
        <v>150</v>
      </c>
      <c r="K475" s="5">
        <v>3.6</v>
      </c>
      <c r="L475" s="5">
        <v>908</v>
      </c>
      <c r="M475" s="5">
        <v>14.56</v>
      </c>
      <c r="N475" s="5">
        <v>1493.337491012077</v>
      </c>
      <c r="O475" s="5">
        <v>999</v>
      </c>
      <c r="P475" s="5" t="s">
        <v>150</v>
      </c>
      <c r="Q475" s="5" t="s">
        <v>55</v>
      </c>
      <c r="R475" s="5" t="s">
        <v>129</v>
      </c>
      <c r="S475" s="7" t="s">
        <v>1428</v>
      </c>
    </row>
    <row r="476" spans="1:19" x14ac:dyDescent="0.35">
      <c r="A476" s="6">
        <v>17381480</v>
      </c>
      <c r="B476" s="5" t="s">
        <v>250</v>
      </c>
      <c r="C476" s="5" t="s">
        <v>163</v>
      </c>
      <c r="D476" s="5" t="s">
        <v>77</v>
      </c>
      <c r="E476" s="5" t="s">
        <v>133</v>
      </c>
      <c r="F476" s="5" t="s">
        <v>1186</v>
      </c>
      <c r="G476" s="5"/>
      <c r="H476" s="5">
        <v>1198</v>
      </c>
      <c r="I476" s="5" t="s">
        <v>209</v>
      </c>
      <c r="J476" s="5" t="s">
        <v>192</v>
      </c>
      <c r="K476" s="5">
        <v>4.0999999999999996</v>
      </c>
      <c r="L476" s="5">
        <v>908</v>
      </c>
      <c r="M476" s="5">
        <v>0.5</v>
      </c>
      <c r="N476" s="5">
        <v>1790.0851063829789</v>
      </c>
      <c r="O476" s="5"/>
      <c r="P476" s="5" t="s">
        <v>192</v>
      </c>
      <c r="Q476" s="5" t="s">
        <v>57</v>
      </c>
      <c r="R476" s="5" t="s">
        <v>129</v>
      </c>
      <c r="S476" s="7" t="s">
        <v>1425</v>
      </c>
    </row>
    <row r="477" spans="1:19" x14ac:dyDescent="0.35">
      <c r="A477" s="6">
        <v>17385104</v>
      </c>
      <c r="B477" s="5" t="s">
        <v>250</v>
      </c>
      <c r="C477" s="5" t="s">
        <v>163</v>
      </c>
      <c r="D477" s="5" t="s">
        <v>77</v>
      </c>
      <c r="E477" s="5" t="s">
        <v>133</v>
      </c>
      <c r="F477" s="5" t="s">
        <v>288</v>
      </c>
      <c r="G477" s="5"/>
      <c r="H477" s="5">
        <v>1398</v>
      </c>
      <c r="I477" s="5" t="s">
        <v>209</v>
      </c>
      <c r="J477" s="5" t="s">
        <v>192</v>
      </c>
      <c r="K477" s="5">
        <v>4.4000000000000004</v>
      </c>
      <c r="L477" s="5">
        <v>908</v>
      </c>
      <c r="M477" s="5">
        <v>0.5</v>
      </c>
      <c r="N477" s="5">
        <v>1790.0851063829789</v>
      </c>
      <c r="O477" s="5"/>
      <c r="P477" s="5" t="s">
        <v>192</v>
      </c>
      <c r="Q477" s="5" t="s">
        <v>57</v>
      </c>
      <c r="R477" s="5" t="s">
        <v>129</v>
      </c>
      <c r="S477" s="7" t="s">
        <v>1424</v>
      </c>
    </row>
    <row r="478" spans="1:19" x14ac:dyDescent="0.35">
      <c r="A478" s="6">
        <v>10930336</v>
      </c>
      <c r="B478" s="5" t="s">
        <v>250</v>
      </c>
      <c r="C478" s="5" t="s">
        <v>189</v>
      </c>
      <c r="D478" s="5" t="s">
        <v>162</v>
      </c>
      <c r="E478" s="5" t="s">
        <v>140</v>
      </c>
      <c r="F478" s="5" t="s">
        <v>1422</v>
      </c>
      <c r="G478" s="5"/>
      <c r="H478" s="5">
        <v>1699</v>
      </c>
      <c r="I478" s="5"/>
      <c r="J478" s="5" t="s">
        <v>408</v>
      </c>
      <c r="K478" s="5">
        <v>3.8</v>
      </c>
      <c r="L478" s="5">
        <v>907</v>
      </c>
      <c r="M478" s="5"/>
      <c r="N478" s="5">
        <v>1351.2078667815099</v>
      </c>
      <c r="O478" s="5">
        <v>1351.2078667815099</v>
      </c>
      <c r="P478" s="5" t="s">
        <v>408</v>
      </c>
      <c r="Q478" s="5" t="s">
        <v>57</v>
      </c>
      <c r="R478" s="5" t="s">
        <v>129</v>
      </c>
      <c r="S478" s="7" t="s">
        <v>1423</v>
      </c>
    </row>
    <row r="479" spans="1:19" x14ac:dyDescent="0.35">
      <c r="A479" s="6">
        <v>16323384</v>
      </c>
      <c r="B479" s="5" t="s">
        <v>152</v>
      </c>
      <c r="C479" s="5" t="s">
        <v>75</v>
      </c>
      <c r="D479" s="5" t="s">
        <v>77</v>
      </c>
      <c r="E479" s="5" t="s">
        <v>140</v>
      </c>
      <c r="F479" s="5" t="s">
        <v>1420</v>
      </c>
      <c r="G479" s="5"/>
      <c r="H479" s="5">
        <v>2298</v>
      </c>
      <c r="I479" s="5"/>
      <c r="J479" s="5" t="s">
        <v>1419</v>
      </c>
      <c r="K479" s="5">
        <v>4.2</v>
      </c>
      <c r="L479" s="5">
        <v>907</v>
      </c>
      <c r="M479" s="5"/>
      <c r="N479" s="5">
        <v>1097.3783736315199</v>
      </c>
      <c r="O479" s="5">
        <v>1097.3783736315199</v>
      </c>
      <c r="P479" s="5" t="s">
        <v>1419</v>
      </c>
      <c r="Q479" s="5" t="s">
        <v>57</v>
      </c>
      <c r="R479" s="5" t="s">
        <v>129</v>
      </c>
      <c r="S479" s="7" t="s">
        <v>1421</v>
      </c>
    </row>
    <row r="480" spans="1:19" x14ac:dyDescent="0.35">
      <c r="A480" s="6">
        <v>11889116</v>
      </c>
      <c r="B480" s="5" t="s">
        <v>190</v>
      </c>
      <c r="C480" s="5" t="s">
        <v>142</v>
      </c>
      <c r="D480" s="5" t="s">
        <v>141</v>
      </c>
      <c r="E480" s="5" t="s">
        <v>140</v>
      </c>
      <c r="F480" s="5" t="s">
        <v>1417</v>
      </c>
      <c r="G480" s="5">
        <v>549</v>
      </c>
      <c r="H480" s="5">
        <v>1099</v>
      </c>
      <c r="I480" s="5" t="s">
        <v>209</v>
      </c>
      <c r="J480" s="5" t="s">
        <v>145</v>
      </c>
      <c r="K480" s="5">
        <v>4.3</v>
      </c>
      <c r="L480" s="5">
        <v>907</v>
      </c>
      <c r="M480" s="5">
        <v>0.5</v>
      </c>
      <c r="N480" s="5">
        <v>1138.6340612208289</v>
      </c>
      <c r="O480" s="5">
        <v>549</v>
      </c>
      <c r="P480" s="5" t="s">
        <v>145</v>
      </c>
      <c r="Q480" s="5" t="s">
        <v>57</v>
      </c>
      <c r="R480" s="5" t="s">
        <v>129</v>
      </c>
      <c r="S480" s="7" t="s">
        <v>1418</v>
      </c>
    </row>
    <row r="481" spans="1:19" x14ac:dyDescent="0.35">
      <c r="A481" s="6">
        <v>2297744</v>
      </c>
      <c r="B481" s="5" t="s">
        <v>250</v>
      </c>
      <c r="C481" s="5" t="s">
        <v>142</v>
      </c>
      <c r="D481" s="5" t="s">
        <v>77</v>
      </c>
      <c r="E481" s="5" t="s">
        <v>140</v>
      </c>
      <c r="F481" s="5" t="s">
        <v>1415</v>
      </c>
      <c r="G481" s="5">
        <v>349</v>
      </c>
      <c r="H481" s="5">
        <v>699</v>
      </c>
      <c r="I481" s="5" t="s">
        <v>209</v>
      </c>
      <c r="J481" s="5" t="s">
        <v>212</v>
      </c>
      <c r="K481" s="5">
        <v>3.9</v>
      </c>
      <c r="L481" s="5">
        <v>907</v>
      </c>
      <c r="M481" s="5">
        <v>0.5</v>
      </c>
      <c r="N481" s="5">
        <v>1138.6340612208289</v>
      </c>
      <c r="O481" s="5">
        <v>349</v>
      </c>
      <c r="P481" s="5" t="s">
        <v>212</v>
      </c>
      <c r="Q481" s="5" t="s">
        <v>57</v>
      </c>
      <c r="R481" s="5" t="s">
        <v>129</v>
      </c>
      <c r="S481" s="7" t="s">
        <v>1416</v>
      </c>
    </row>
    <row r="482" spans="1:19" x14ac:dyDescent="0.35">
      <c r="A482" s="6">
        <v>11893114</v>
      </c>
      <c r="B482" s="5" t="s">
        <v>1413</v>
      </c>
      <c r="C482" s="5" t="s">
        <v>135</v>
      </c>
      <c r="D482" s="5" t="s">
        <v>1412</v>
      </c>
      <c r="E482" s="5" t="s">
        <v>133</v>
      </c>
      <c r="F482" s="5" t="s">
        <v>1411</v>
      </c>
      <c r="G482" s="5">
        <v>798</v>
      </c>
      <c r="H482" s="5">
        <v>1699</v>
      </c>
      <c r="I482" s="5" t="s">
        <v>381</v>
      </c>
      <c r="J482" s="5" t="s">
        <v>502</v>
      </c>
      <c r="K482" s="5">
        <v>4.4000000000000004</v>
      </c>
      <c r="L482" s="5">
        <v>907</v>
      </c>
      <c r="M482" s="5">
        <v>0.53</v>
      </c>
      <c r="N482" s="5">
        <v>1493.337491012077</v>
      </c>
      <c r="O482" s="5">
        <v>798</v>
      </c>
      <c r="P482" s="5" t="s">
        <v>502</v>
      </c>
      <c r="Q482" s="5" t="s">
        <v>55</v>
      </c>
      <c r="R482" s="5" t="s">
        <v>129</v>
      </c>
      <c r="S482" s="7" t="s">
        <v>1414</v>
      </c>
    </row>
    <row r="483" spans="1:19" x14ac:dyDescent="0.35">
      <c r="A483" s="6">
        <v>12104526</v>
      </c>
      <c r="B483" s="5" t="s">
        <v>180</v>
      </c>
      <c r="C483" s="5" t="s">
        <v>135</v>
      </c>
      <c r="D483" s="5" t="s">
        <v>377</v>
      </c>
      <c r="E483" s="5" t="s">
        <v>133</v>
      </c>
      <c r="F483" s="5" t="s">
        <v>1409</v>
      </c>
      <c r="G483" s="5">
        <v>2449</v>
      </c>
      <c r="H483" s="5">
        <v>4899</v>
      </c>
      <c r="I483" s="5" t="s">
        <v>209</v>
      </c>
      <c r="J483" s="5" t="s">
        <v>177</v>
      </c>
      <c r="K483" s="5">
        <v>4.0999999999999996</v>
      </c>
      <c r="L483" s="5">
        <v>907</v>
      </c>
      <c r="M483" s="5">
        <v>0.5</v>
      </c>
      <c r="N483" s="5">
        <v>1493.337491012077</v>
      </c>
      <c r="O483" s="5">
        <v>2449</v>
      </c>
      <c r="P483" s="5" t="s">
        <v>177</v>
      </c>
      <c r="Q483" s="5" t="s">
        <v>57</v>
      </c>
      <c r="R483" s="5" t="s">
        <v>129</v>
      </c>
      <c r="S483" s="7" t="s">
        <v>1410</v>
      </c>
    </row>
    <row r="484" spans="1:19" x14ac:dyDescent="0.35">
      <c r="A484" s="6">
        <v>851425</v>
      </c>
      <c r="B484" s="5" t="s">
        <v>274</v>
      </c>
      <c r="C484" s="5" t="s">
        <v>273</v>
      </c>
      <c r="D484" s="5" t="s">
        <v>272</v>
      </c>
      <c r="E484" s="5" t="s">
        <v>133</v>
      </c>
      <c r="F484" s="5" t="s">
        <v>1407</v>
      </c>
      <c r="G484" s="5">
        <v>645</v>
      </c>
      <c r="H484" s="5">
        <v>717</v>
      </c>
      <c r="I484" s="5" t="s">
        <v>270</v>
      </c>
      <c r="J484" s="5" t="s">
        <v>1406</v>
      </c>
      <c r="K484" s="5">
        <v>3.9</v>
      </c>
      <c r="L484" s="5">
        <v>907</v>
      </c>
      <c r="M484" s="5">
        <v>0.1</v>
      </c>
      <c r="N484" s="5">
        <v>811.90284167198604</v>
      </c>
      <c r="O484" s="5">
        <v>645</v>
      </c>
      <c r="P484" s="5" t="s">
        <v>1406</v>
      </c>
      <c r="Q484" s="5" t="s">
        <v>57</v>
      </c>
      <c r="R484" s="5" t="s">
        <v>129</v>
      </c>
      <c r="S484" s="7" t="s">
        <v>1408</v>
      </c>
    </row>
    <row r="485" spans="1:19" x14ac:dyDescent="0.35">
      <c r="A485" s="6">
        <v>14154064</v>
      </c>
      <c r="B485" s="5" t="s">
        <v>164</v>
      </c>
      <c r="C485" s="5" t="s">
        <v>163</v>
      </c>
      <c r="D485" s="5" t="s">
        <v>199</v>
      </c>
      <c r="E485" s="5" t="s">
        <v>133</v>
      </c>
      <c r="F485" s="5" t="s">
        <v>1404</v>
      </c>
      <c r="G485" s="5"/>
      <c r="H485" s="5">
        <v>1149</v>
      </c>
      <c r="I485" s="5" t="s">
        <v>1035</v>
      </c>
      <c r="J485" s="5" t="s">
        <v>212</v>
      </c>
      <c r="K485" s="5">
        <v>4.4000000000000004</v>
      </c>
      <c r="L485" s="5">
        <v>907</v>
      </c>
      <c r="M485" s="5">
        <v>0.49</v>
      </c>
      <c r="N485" s="5">
        <v>1790.0851063829789</v>
      </c>
      <c r="O485" s="5"/>
      <c r="P485" s="5" t="s">
        <v>212</v>
      </c>
      <c r="Q485" s="5" t="s">
        <v>57</v>
      </c>
      <c r="R485" s="5" t="s">
        <v>129</v>
      </c>
      <c r="S485" s="7" t="s">
        <v>1405</v>
      </c>
    </row>
    <row r="486" spans="1:19" x14ac:dyDescent="0.35">
      <c r="A486" s="6">
        <v>9256769</v>
      </c>
      <c r="B486" s="5" t="s">
        <v>65</v>
      </c>
      <c r="C486" s="5" t="s">
        <v>142</v>
      </c>
      <c r="D486" s="5" t="s">
        <v>77</v>
      </c>
      <c r="E486" s="5" t="s">
        <v>140</v>
      </c>
      <c r="F486" s="5" t="s">
        <v>1402</v>
      </c>
      <c r="G486" s="5">
        <v>483</v>
      </c>
      <c r="H486" s="5">
        <v>1099</v>
      </c>
      <c r="I486" s="5" t="s">
        <v>172</v>
      </c>
      <c r="J486" s="5" t="s">
        <v>212</v>
      </c>
      <c r="K486" s="5">
        <v>4</v>
      </c>
      <c r="L486" s="5">
        <v>906</v>
      </c>
      <c r="M486" s="5">
        <v>0.56000000000000005</v>
      </c>
      <c r="N486" s="5">
        <v>1138.6340612208289</v>
      </c>
      <c r="O486" s="5">
        <v>483</v>
      </c>
      <c r="P486" s="5" t="s">
        <v>212</v>
      </c>
      <c r="Q486" s="5" t="s">
        <v>55</v>
      </c>
      <c r="R486" s="5" t="s">
        <v>129</v>
      </c>
      <c r="S486" s="7" t="s">
        <v>1403</v>
      </c>
    </row>
    <row r="487" spans="1:19" x14ac:dyDescent="0.35">
      <c r="A487" s="6">
        <v>1421972</v>
      </c>
      <c r="B487" s="5" t="s">
        <v>183</v>
      </c>
      <c r="C487" s="5" t="s">
        <v>142</v>
      </c>
      <c r="D487" s="5" t="s">
        <v>77</v>
      </c>
      <c r="E487" s="5" t="s">
        <v>140</v>
      </c>
      <c r="F487" s="5" t="s">
        <v>1400</v>
      </c>
      <c r="G487" s="5">
        <v>539</v>
      </c>
      <c r="H487" s="5">
        <v>899</v>
      </c>
      <c r="I487" s="5" t="s">
        <v>131</v>
      </c>
      <c r="J487" s="5" t="s">
        <v>150</v>
      </c>
      <c r="K487" s="5">
        <v>4.3</v>
      </c>
      <c r="L487" s="5">
        <v>906</v>
      </c>
      <c r="M487" s="5">
        <v>0.4</v>
      </c>
      <c r="N487" s="5">
        <v>1138.6340612208289</v>
      </c>
      <c r="O487" s="5">
        <v>539</v>
      </c>
      <c r="P487" s="5" t="s">
        <v>150</v>
      </c>
      <c r="Q487" s="5" t="s">
        <v>57</v>
      </c>
      <c r="R487" s="5" t="s">
        <v>129</v>
      </c>
      <c r="S487" s="7" t="s">
        <v>1401</v>
      </c>
    </row>
    <row r="488" spans="1:19" x14ac:dyDescent="0.35">
      <c r="A488" s="6">
        <v>13437256</v>
      </c>
      <c r="B488" s="5" t="s">
        <v>180</v>
      </c>
      <c r="C488" s="5" t="s">
        <v>135</v>
      </c>
      <c r="D488" s="5" t="s">
        <v>168</v>
      </c>
      <c r="E488" s="5" t="s">
        <v>133</v>
      </c>
      <c r="F488" s="5" t="s">
        <v>1398</v>
      </c>
      <c r="G488" s="5">
        <v>374</v>
      </c>
      <c r="H488" s="5">
        <v>1499</v>
      </c>
      <c r="I488" s="5" t="s">
        <v>310</v>
      </c>
      <c r="J488" s="5" t="s">
        <v>177</v>
      </c>
      <c r="K488" s="5">
        <v>4.0999999999999996</v>
      </c>
      <c r="L488" s="5">
        <v>906</v>
      </c>
      <c r="M488" s="5">
        <v>0.75</v>
      </c>
      <c r="N488" s="5">
        <v>1493.337491012077</v>
      </c>
      <c r="O488" s="5">
        <v>374</v>
      </c>
      <c r="P488" s="5" t="s">
        <v>177</v>
      </c>
      <c r="Q488" s="5" t="s">
        <v>55</v>
      </c>
      <c r="R488" s="5" t="s">
        <v>129</v>
      </c>
      <c r="S488" s="7" t="s">
        <v>1399</v>
      </c>
    </row>
    <row r="489" spans="1:19" x14ac:dyDescent="0.35">
      <c r="A489" s="6">
        <v>16324074</v>
      </c>
      <c r="B489" s="5" t="s">
        <v>152</v>
      </c>
      <c r="C489" s="5" t="s">
        <v>75</v>
      </c>
      <c r="D489" s="5" t="s">
        <v>77</v>
      </c>
      <c r="E489" s="5" t="s">
        <v>140</v>
      </c>
      <c r="F489" s="5" t="s">
        <v>1396</v>
      </c>
      <c r="G489" s="5"/>
      <c r="H489" s="5">
        <v>2698</v>
      </c>
      <c r="I489" s="5"/>
      <c r="J489" s="5" t="s">
        <v>150</v>
      </c>
      <c r="K489" s="5">
        <v>4.3</v>
      </c>
      <c r="L489" s="5">
        <v>905</v>
      </c>
      <c r="M489" s="5"/>
      <c r="N489" s="5">
        <v>1097.3783736315199</v>
      </c>
      <c r="O489" s="5">
        <v>1097.3783736315199</v>
      </c>
      <c r="P489" s="5" t="s">
        <v>150</v>
      </c>
      <c r="Q489" s="5" t="s">
        <v>57</v>
      </c>
      <c r="R489" s="5" t="s">
        <v>129</v>
      </c>
      <c r="S489" s="7" t="s">
        <v>1397</v>
      </c>
    </row>
    <row r="490" spans="1:19" x14ac:dyDescent="0.35">
      <c r="A490" s="6">
        <v>2116963</v>
      </c>
      <c r="B490" s="5" t="s">
        <v>250</v>
      </c>
      <c r="C490" s="5" t="s">
        <v>142</v>
      </c>
      <c r="D490" s="5" t="s">
        <v>141</v>
      </c>
      <c r="E490" s="5" t="s">
        <v>140</v>
      </c>
      <c r="F490" s="5" t="s">
        <v>1394</v>
      </c>
      <c r="G490" s="5">
        <v>879</v>
      </c>
      <c r="H490" s="5">
        <v>1599</v>
      </c>
      <c r="I490" s="5" t="s">
        <v>36</v>
      </c>
      <c r="J490" s="5" t="s">
        <v>276</v>
      </c>
      <c r="K490" s="5">
        <v>4.0999999999999996</v>
      </c>
      <c r="L490" s="5">
        <v>905</v>
      </c>
      <c r="M490" s="5">
        <v>0.45</v>
      </c>
      <c r="N490" s="5">
        <v>1138.6340612208289</v>
      </c>
      <c r="O490" s="5">
        <v>879</v>
      </c>
      <c r="P490" s="5" t="s">
        <v>276</v>
      </c>
      <c r="Q490" s="5" t="s">
        <v>57</v>
      </c>
      <c r="R490" s="5" t="s">
        <v>129</v>
      </c>
      <c r="S490" s="7" t="s">
        <v>1395</v>
      </c>
    </row>
    <row r="491" spans="1:19" x14ac:dyDescent="0.35">
      <c r="A491" s="6">
        <v>1996729</v>
      </c>
      <c r="B491" s="5" t="s">
        <v>250</v>
      </c>
      <c r="C491" s="5" t="s">
        <v>142</v>
      </c>
      <c r="D491" s="5" t="s">
        <v>77</v>
      </c>
      <c r="E491" s="5" t="s">
        <v>140</v>
      </c>
      <c r="F491" s="5" t="s">
        <v>1392</v>
      </c>
      <c r="G491" s="5">
        <v>269</v>
      </c>
      <c r="H491" s="5">
        <v>599</v>
      </c>
      <c r="I491" s="5" t="s">
        <v>178</v>
      </c>
      <c r="J491" s="5" t="s">
        <v>458</v>
      </c>
      <c r="K491" s="5">
        <v>4.2</v>
      </c>
      <c r="L491" s="5">
        <v>905</v>
      </c>
      <c r="M491" s="5">
        <v>0.55000000000000004</v>
      </c>
      <c r="N491" s="5">
        <v>1138.6340612208289</v>
      </c>
      <c r="O491" s="5">
        <v>269</v>
      </c>
      <c r="P491" s="5" t="s">
        <v>458</v>
      </c>
      <c r="Q491" s="5" t="s">
        <v>55</v>
      </c>
      <c r="R491" s="5" t="s">
        <v>129</v>
      </c>
      <c r="S491" s="7" t="s">
        <v>1393</v>
      </c>
    </row>
    <row r="492" spans="1:19" x14ac:dyDescent="0.35">
      <c r="A492" s="6">
        <v>9072729</v>
      </c>
      <c r="B492" s="5" t="s">
        <v>143</v>
      </c>
      <c r="C492" s="5" t="s">
        <v>235</v>
      </c>
      <c r="D492" s="5" t="s">
        <v>162</v>
      </c>
      <c r="E492" s="5" t="s">
        <v>133</v>
      </c>
      <c r="F492" s="5" t="s">
        <v>1390</v>
      </c>
      <c r="G492" s="5">
        <v>629</v>
      </c>
      <c r="H492" s="5">
        <v>2099</v>
      </c>
      <c r="I492" s="5" t="s">
        <v>283</v>
      </c>
      <c r="J492" s="5" t="s">
        <v>296</v>
      </c>
      <c r="K492" s="5">
        <v>4.2</v>
      </c>
      <c r="L492" s="5">
        <v>905</v>
      </c>
      <c r="M492" s="5">
        <v>0.7</v>
      </c>
      <c r="N492" s="5">
        <v>923.69459774582197</v>
      </c>
      <c r="O492" s="5">
        <v>629</v>
      </c>
      <c r="P492" s="5" t="s">
        <v>296</v>
      </c>
      <c r="Q492" s="5" t="s">
        <v>55</v>
      </c>
      <c r="R492" s="5" t="s">
        <v>129</v>
      </c>
      <c r="S492" s="7" t="s">
        <v>1391</v>
      </c>
    </row>
    <row r="493" spans="1:19" x14ac:dyDescent="0.35">
      <c r="A493" s="6">
        <v>7753715</v>
      </c>
      <c r="B493" s="5" t="s">
        <v>239</v>
      </c>
      <c r="C493" s="5" t="s">
        <v>235</v>
      </c>
      <c r="D493" s="5" t="s">
        <v>228</v>
      </c>
      <c r="E493" s="5" t="s">
        <v>133</v>
      </c>
      <c r="F493" s="5" t="s">
        <v>1388</v>
      </c>
      <c r="G493" s="5">
        <v>809</v>
      </c>
      <c r="H493" s="5">
        <v>2699</v>
      </c>
      <c r="I493" s="5" t="s">
        <v>283</v>
      </c>
      <c r="J493" s="5" t="s">
        <v>237</v>
      </c>
      <c r="K493" s="5">
        <v>4.2</v>
      </c>
      <c r="L493" s="5">
        <v>905</v>
      </c>
      <c r="M493" s="5">
        <v>0.7</v>
      </c>
      <c r="N493" s="5">
        <v>923.69459774582197</v>
      </c>
      <c r="O493" s="5">
        <v>809</v>
      </c>
      <c r="P493" s="5" t="s">
        <v>237</v>
      </c>
      <c r="Q493" s="5" t="s">
        <v>55</v>
      </c>
      <c r="R493" s="5" t="s">
        <v>129</v>
      </c>
      <c r="S493" s="7" t="s">
        <v>1389</v>
      </c>
    </row>
    <row r="494" spans="1:19" x14ac:dyDescent="0.35">
      <c r="A494" s="6">
        <v>17524574</v>
      </c>
      <c r="B494" s="5" t="s">
        <v>225</v>
      </c>
      <c r="C494" s="5" t="s">
        <v>163</v>
      </c>
      <c r="D494" s="5" t="s">
        <v>77</v>
      </c>
      <c r="E494" s="5" t="s">
        <v>133</v>
      </c>
      <c r="F494" s="5" t="s">
        <v>1386</v>
      </c>
      <c r="G494" s="5"/>
      <c r="H494" s="5">
        <v>1548</v>
      </c>
      <c r="I494" s="5" t="s">
        <v>209</v>
      </c>
      <c r="J494" s="5" t="s">
        <v>779</v>
      </c>
      <c r="K494" s="5">
        <v>4.0999999999999996</v>
      </c>
      <c r="L494" s="5">
        <v>905</v>
      </c>
      <c r="M494" s="5">
        <v>0.5</v>
      </c>
      <c r="N494" s="5">
        <v>1790.0851063829789</v>
      </c>
      <c r="O494" s="5"/>
      <c r="P494" s="5" t="s">
        <v>779</v>
      </c>
      <c r="Q494" s="5" t="s">
        <v>57</v>
      </c>
      <c r="R494" s="5" t="s">
        <v>129</v>
      </c>
      <c r="S494" s="7" t="s">
        <v>1387</v>
      </c>
    </row>
    <row r="495" spans="1:19" x14ac:dyDescent="0.35">
      <c r="A495" s="6">
        <v>12737822</v>
      </c>
      <c r="B495" s="5" t="s">
        <v>472</v>
      </c>
      <c r="C495" s="5" t="s">
        <v>163</v>
      </c>
      <c r="D495" s="5" t="s">
        <v>77</v>
      </c>
      <c r="E495" s="5" t="s">
        <v>133</v>
      </c>
      <c r="F495" s="5" t="s">
        <v>1384</v>
      </c>
      <c r="G495" s="5"/>
      <c r="H495" s="5">
        <v>899</v>
      </c>
      <c r="I495" s="5" t="s">
        <v>223</v>
      </c>
      <c r="J495" s="5" t="s">
        <v>196</v>
      </c>
      <c r="K495" s="5">
        <v>4.5</v>
      </c>
      <c r="L495" s="5">
        <v>905</v>
      </c>
      <c r="M495" s="5">
        <v>0.6</v>
      </c>
      <c r="N495" s="5">
        <v>1790.0851063829789</v>
      </c>
      <c r="O495" s="5"/>
      <c r="P495" s="5" t="s">
        <v>196</v>
      </c>
      <c r="Q495" s="5" t="s">
        <v>55</v>
      </c>
      <c r="R495" s="5" t="s">
        <v>129</v>
      </c>
      <c r="S495" s="7" t="s">
        <v>1385</v>
      </c>
    </row>
    <row r="496" spans="1:19" x14ac:dyDescent="0.35">
      <c r="A496" s="6">
        <v>11274476</v>
      </c>
      <c r="B496" s="5" t="s">
        <v>250</v>
      </c>
      <c r="C496" s="5" t="s">
        <v>189</v>
      </c>
      <c r="D496" s="5" t="s">
        <v>162</v>
      </c>
      <c r="E496" s="5" t="s">
        <v>140</v>
      </c>
      <c r="F496" s="5" t="s">
        <v>1382</v>
      </c>
      <c r="G496" s="5"/>
      <c r="H496" s="5">
        <v>1999</v>
      </c>
      <c r="I496" s="5"/>
      <c r="J496" s="5" t="s">
        <v>408</v>
      </c>
      <c r="K496" s="5">
        <v>3.8</v>
      </c>
      <c r="L496" s="5">
        <v>904</v>
      </c>
      <c r="M496" s="5"/>
      <c r="N496" s="5">
        <v>1351.2078667815099</v>
      </c>
      <c r="O496" s="5">
        <v>1351.2078667815099</v>
      </c>
      <c r="P496" s="5" t="s">
        <v>408</v>
      </c>
      <c r="Q496" s="5" t="s">
        <v>57</v>
      </c>
      <c r="R496" s="5" t="s">
        <v>129</v>
      </c>
      <c r="S496" s="7" t="s">
        <v>1383</v>
      </c>
    </row>
    <row r="497" spans="1:19" x14ac:dyDescent="0.35">
      <c r="A497" s="6">
        <v>1376192</v>
      </c>
      <c r="B497" s="5" t="s">
        <v>250</v>
      </c>
      <c r="C497" s="5" t="s">
        <v>142</v>
      </c>
      <c r="D497" s="5" t="s">
        <v>141</v>
      </c>
      <c r="E497" s="5" t="s">
        <v>140</v>
      </c>
      <c r="F497" s="5" t="s">
        <v>1380</v>
      </c>
      <c r="G497" s="5">
        <v>719</v>
      </c>
      <c r="H497" s="5">
        <v>1799</v>
      </c>
      <c r="I497" s="5" t="s">
        <v>223</v>
      </c>
      <c r="J497" s="5" t="s">
        <v>348</v>
      </c>
      <c r="K497" s="5">
        <v>4.0999999999999996</v>
      </c>
      <c r="L497" s="5">
        <v>904</v>
      </c>
      <c r="M497" s="5">
        <v>0.6</v>
      </c>
      <c r="N497" s="5">
        <v>1138.6340612208289</v>
      </c>
      <c r="O497" s="5">
        <v>719</v>
      </c>
      <c r="P497" s="5" t="s">
        <v>348</v>
      </c>
      <c r="Q497" s="5" t="s">
        <v>55</v>
      </c>
      <c r="R497" s="5" t="s">
        <v>129</v>
      </c>
      <c r="S497" s="7" t="s">
        <v>1381</v>
      </c>
    </row>
    <row r="498" spans="1:19" x14ac:dyDescent="0.35">
      <c r="A498" s="6">
        <v>10088851</v>
      </c>
      <c r="B498" s="5" t="s">
        <v>164</v>
      </c>
      <c r="C498" s="5" t="s">
        <v>163</v>
      </c>
      <c r="D498" s="5" t="s">
        <v>228</v>
      </c>
      <c r="E498" s="5" t="s">
        <v>133</v>
      </c>
      <c r="F498" s="5" t="s">
        <v>1378</v>
      </c>
      <c r="G498" s="5"/>
      <c r="H498" s="5">
        <v>1399</v>
      </c>
      <c r="I498" s="5" t="s">
        <v>401</v>
      </c>
      <c r="J498" s="5" t="s">
        <v>212</v>
      </c>
      <c r="K498" s="5">
        <v>4.2</v>
      </c>
      <c r="L498" s="5">
        <v>904</v>
      </c>
      <c r="M498" s="5">
        <v>0.66</v>
      </c>
      <c r="N498" s="5">
        <v>1790.0851063829789</v>
      </c>
      <c r="O498" s="5"/>
      <c r="P498" s="5" t="s">
        <v>212</v>
      </c>
      <c r="Q498" s="5" t="s">
        <v>55</v>
      </c>
      <c r="R498" s="5" t="s">
        <v>129</v>
      </c>
      <c r="S498" s="7" t="s">
        <v>1379</v>
      </c>
    </row>
    <row r="499" spans="1:19" x14ac:dyDescent="0.35">
      <c r="A499" s="6">
        <v>10821238</v>
      </c>
      <c r="B499" s="5" t="s">
        <v>522</v>
      </c>
      <c r="C499" s="5" t="s">
        <v>163</v>
      </c>
      <c r="D499" s="5" t="s">
        <v>194</v>
      </c>
      <c r="E499" s="5" t="s">
        <v>133</v>
      </c>
      <c r="F499" s="5" t="s">
        <v>1376</v>
      </c>
      <c r="G499" s="5"/>
      <c r="H499" s="5">
        <v>1399</v>
      </c>
      <c r="I499" s="5" t="s">
        <v>197</v>
      </c>
      <c r="J499" s="5" t="s">
        <v>150</v>
      </c>
      <c r="K499" s="5">
        <v>3.8</v>
      </c>
      <c r="L499" s="5">
        <v>904</v>
      </c>
      <c r="M499" s="5">
        <v>0.65</v>
      </c>
      <c r="N499" s="5">
        <v>1790.0851063829789</v>
      </c>
      <c r="O499" s="5"/>
      <c r="P499" s="5" t="s">
        <v>150</v>
      </c>
      <c r="Q499" s="5" t="s">
        <v>55</v>
      </c>
      <c r="R499" s="5" t="s">
        <v>129</v>
      </c>
      <c r="S499" s="7" t="s">
        <v>1377</v>
      </c>
    </row>
    <row r="500" spans="1:19" x14ac:dyDescent="0.35">
      <c r="A500" s="6">
        <v>1774662</v>
      </c>
      <c r="B500" s="5" t="s">
        <v>472</v>
      </c>
      <c r="C500" s="5" t="s">
        <v>163</v>
      </c>
      <c r="D500" s="5" t="s">
        <v>228</v>
      </c>
      <c r="E500" s="5" t="s">
        <v>133</v>
      </c>
      <c r="F500" s="5" t="s">
        <v>1374</v>
      </c>
      <c r="G500" s="5"/>
      <c r="H500" s="5">
        <v>1399</v>
      </c>
      <c r="I500" s="5" t="s">
        <v>1035</v>
      </c>
      <c r="J500" s="5" t="s">
        <v>196</v>
      </c>
      <c r="K500" s="5">
        <v>4.4000000000000004</v>
      </c>
      <c r="L500" s="5">
        <v>904</v>
      </c>
      <c r="M500" s="5">
        <v>0.49</v>
      </c>
      <c r="N500" s="5">
        <v>1790.0851063829789</v>
      </c>
      <c r="O500" s="5"/>
      <c r="P500" s="5" t="s">
        <v>196</v>
      </c>
      <c r="Q500" s="5" t="s">
        <v>57</v>
      </c>
      <c r="R500" s="5" t="s">
        <v>129</v>
      </c>
      <c r="S500" s="7" t="s">
        <v>1375</v>
      </c>
    </row>
    <row r="501" spans="1:19" x14ac:dyDescent="0.35">
      <c r="A501" s="6">
        <v>17382688</v>
      </c>
      <c r="B501" s="5" t="s">
        <v>250</v>
      </c>
      <c r="C501" s="5" t="s">
        <v>163</v>
      </c>
      <c r="D501" s="5" t="s">
        <v>77</v>
      </c>
      <c r="E501" s="5" t="s">
        <v>133</v>
      </c>
      <c r="F501" s="5" t="s">
        <v>928</v>
      </c>
      <c r="G501" s="5"/>
      <c r="H501" s="5">
        <v>1598</v>
      </c>
      <c r="I501" s="5" t="s">
        <v>209</v>
      </c>
      <c r="J501" s="5" t="s">
        <v>1227</v>
      </c>
      <c r="K501" s="5">
        <v>4.2</v>
      </c>
      <c r="L501" s="5">
        <v>904</v>
      </c>
      <c r="M501" s="5">
        <v>0.5</v>
      </c>
      <c r="N501" s="5">
        <v>1790.0851063829789</v>
      </c>
      <c r="O501" s="5"/>
      <c r="P501" s="5" t="s">
        <v>1227</v>
      </c>
      <c r="Q501" s="5" t="s">
        <v>57</v>
      </c>
      <c r="R501" s="5" t="s">
        <v>129</v>
      </c>
      <c r="S501" s="7" t="s">
        <v>1373</v>
      </c>
    </row>
    <row r="502" spans="1:19" x14ac:dyDescent="0.35">
      <c r="A502" s="6">
        <v>12027774</v>
      </c>
      <c r="B502" s="5" t="s">
        <v>190</v>
      </c>
      <c r="C502" s="5" t="s">
        <v>142</v>
      </c>
      <c r="D502" s="5" t="s">
        <v>141</v>
      </c>
      <c r="E502" s="5" t="s">
        <v>140</v>
      </c>
      <c r="F502" s="5" t="s">
        <v>1371</v>
      </c>
      <c r="G502" s="5">
        <v>719</v>
      </c>
      <c r="H502" s="5">
        <v>1199</v>
      </c>
      <c r="I502" s="5" t="s">
        <v>131</v>
      </c>
      <c r="J502" s="5" t="s">
        <v>145</v>
      </c>
      <c r="K502" s="5">
        <v>4.4000000000000004</v>
      </c>
      <c r="L502" s="5">
        <v>903</v>
      </c>
      <c r="M502" s="5">
        <v>0.4</v>
      </c>
      <c r="N502" s="5">
        <v>1138.6340612208289</v>
      </c>
      <c r="O502" s="5">
        <v>719</v>
      </c>
      <c r="P502" s="5" t="s">
        <v>145</v>
      </c>
      <c r="Q502" s="5" t="s">
        <v>57</v>
      </c>
      <c r="R502" s="5" t="s">
        <v>129</v>
      </c>
      <c r="S502" s="7" t="s">
        <v>1372</v>
      </c>
    </row>
    <row r="503" spans="1:19" x14ac:dyDescent="0.35">
      <c r="A503" s="6">
        <v>8715089</v>
      </c>
      <c r="B503" s="5" t="s">
        <v>239</v>
      </c>
      <c r="C503" s="5" t="s">
        <v>235</v>
      </c>
      <c r="D503" s="5" t="s">
        <v>194</v>
      </c>
      <c r="E503" s="5" t="s">
        <v>133</v>
      </c>
      <c r="F503" s="5" t="s">
        <v>1369</v>
      </c>
      <c r="G503" s="5">
        <v>539</v>
      </c>
      <c r="H503" s="5">
        <v>1799</v>
      </c>
      <c r="I503" s="5" t="s">
        <v>283</v>
      </c>
      <c r="J503" s="5" t="s">
        <v>237</v>
      </c>
      <c r="K503" s="5">
        <v>4.3</v>
      </c>
      <c r="L503" s="5">
        <v>903</v>
      </c>
      <c r="M503" s="5">
        <v>0.7</v>
      </c>
      <c r="N503" s="5">
        <v>923.69459774582197</v>
      </c>
      <c r="O503" s="5">
        <v>539</v>
      </c>
      <c r="P503" s="5" t="s">
        <v>237</v>
      </c>
      <c r="Q503" s="5" t="s">
        <v>55</v>
      </c>
      <c r="R503" s="5" t="s">
        <v>129</v>
      </c>
      <c r="S503" s="7" t="s">
        <v>1370</v>
      </c>
    </row>
    <row r="504" spans="1:19" x14ac:dyDescent="0.35">
      <c r="A504" s="6">
        <v>9657035</v>
      </c>
      <c r="B504" s="5" t="s">
        <v>239</v>
      </c>
      <c r="C504" s="5" t="s">
        <v>235</v>
      </c>
      <c r="D504" s="5" t="s">
        <v>228</v>
      </c>
      <c r="E504" s="5" t="s">
        <v>133</v>
      </c>
      <c r="F504" s="5" t="s">
        <v>1367</v>
      </c>
      <c r="G504" s="5">
        <v>816</v>
      </c>
      <c r="H504" s="5">
        <v>2041</v>
      </c>
      <c r="I504" s="5" t="s">
        <v>223</v>
      </c>
      <c r="J504" s="5" t="s">
        <v>237</v>
      </c>
      <c r="K504" s="5">
        <v>4.0999999999999996</v>
      </c>
      <c r="L504" s="5">
        <v>903</v>
      </c>
      <c r="M504" s="5">
        <v>0.6</v>
      </c>
      <c r="N504" s="5">
        <v>923.69459774582197</v>
      </c>
      <c r="O504" s="5">
        <v>816</v>
      </c>
      <c r="P504" s="5" t="s">
        <v>237</v>
      </c>
      <c r="Q504" s="5" t="s">
        <v>55</v>
      </c>
      <c r="R504" s="5" t="s">
        <v>129</v>
      </c>
      <c r="S504" s="7" t="s">
        <v>1368</v>
      </c>
    </row>
    <row r="505" spans="1:19" x14ac:dyDescent="0.35">
      <c r="A505" s="6">
        <v>11264142</v>
      </c>
      <c r="B505" s="5" t="s">
        <v>200</v>
      </c>
      <c r="C505" s="5" t="s">
        <v>163</v>
      </c>
      <c r="D505" s="5" t="s">
        <v>418</v>
      </c>
      <c r="E505" s="5" t="s">
        <v>133</v>
      </c>
      <c r="F505" s="5" t="s">
        <v>1365</v>
      </c>
      <c r="G505" s="5"/>
      <c r="H505" s="5">
        <v>1399</v>
      </c>
      <c r="I505" s="5" t="s">
        <v>218</v>
      </c>
      <c r="J505" s="5" t="s">
        <v>222</v>
      </c>
      <c r="K505" s="5">
        <v>4.2</v>
      </c>
      <c r="L505" s="5">
        <v>903</v>
      </c>
      <c r="M505" s="5">
        <v>0.3</v>
      </c>
      <c r="N505" s="5">
        <v>1790.0851063829789</v>
      </c>
      <c r="O505" s="5"/>
      <c r="P505" s="5" t="s">
        <v>222</v>
      </c>
      <c r="Q505" s="5" t="s">
        <v>57</v>
      </c>
      <c r="R505" s="5" t="s">
        <v>129</v>
      </c>
      <c r="S505" s="7" t="s">
        <v>1366</v>
      </c>
    </row>
    <row r="506" spans="1:19" x14ac:dyDescent="0.35">
      <c r="A506" s="6">
        <v>7287282</v>
      </c>
      <c r="B506" s="5" t="s">
        <v>424</v>
      </c>
      <c r="C506" s="5" t="s">
        <v>163</v>
      </c>
      <c r="D506" s="5" t="s">
        <v>228</v>
      </c>
      <c r="E506" s="5" t="s">
        <v>133</v>
      </c>
      <c r="F506" s="5" t="s">
        <v>1363</v>
      </c>
      <c r="G506" s="5"/>
      <c r="H506" s="5">
        <v>1499</v>
      </c>
      <c r="I506" s="5" t="s">
        <v>209</v>
      </c>
      <c r="J506" s="5" t="s">
        <v>192</v>
      </c>
      <c r="K506" s="5">
        <v>4.3</v>
      </c>
      <c r="L506" s="5">
        <v>903</v>
      </c>
      <c r="M506" s="5">
        <v>0.5</v>
      </c>
      <c r="N506" s="5">
        <v>1790.0851063829789</v>
      </c>
      <c r="O506" s="5"/>
      <c r="P506" s="5" t="s">
        <v>192</v>
      </c>
      <c r="Q506" s="5" t="s">
        <v>57</v>
      </c>
      <c r="R506" s="5" t="s">
        <v>129</v>
      </c>
      <c r="S506" s="7" t="s">
        <v>1364</v>
      </c>
    </row>
    <row r="507" spans="1:19" x14ac:dyDescent="0.35">
      <c r="A507" s="6">
        <v>10981590</v>
      </c>
      <c r="B507" s="5" t="s">
        <v>164</v>
      </c>
      <c r="C507" s="5" t="s">
        <v>163</v>
      </c>
      <c r="D507" s="5" t="s">
        <v>228</v>
      </c>
      <c r="E507" s="5" t="s">
        <v>133</v>
      </c>
      <c r="F507" s="5" t="s">
        <v>1361</v>
      </c>
      <c r="G507" s="5"/>
      <c r="H507" s="5">
        <v>1799</v>
      </c>
      <c r="I507" s="5" t="s">
        <v>1035</v>
      </c>
      <c r="J507" s="5" t="s">
        <v>212</v>
      </c>
      <c r="K507" s="5">
        <v>4.3</v>
      </c>
      <c r="L507" s="5">
        <v>903</v>
      </c>
      <c r="M507" s="5">
        <v>0.49</v>
      </c>
      <c r="N507" s="5">
        <v>1790.0851063829789</v>
      </c>
      <c r="O507" s="5"/>
      <c r="P507" s="5" t="s">
        <v>212</v>
      </c>
      <c r="Q507" s="5" t="s">
        <v>57</v>
      </c>
      <c r="R507" s="5" t="s">
        <v>129</v>
      </c>
      <c r="S507" s="7" t="s">
        <v>1362</v>
      </c>
    </row>
    <row r="508" spans="1:19" x14ac:dyDescent="0.35">
      <c r="A508" s="6">
        <v>9340383</v>
      </c>
      <c r="B508" s="5" t="s">
        <v>450</v>
      </c>
      <c r="C508" s="5" t="s">
        <v>163</v>
      </c>
      <c r="D508" s="5" t="s">
        <v>194</v>
      </c>
      <c r="E508" s="5" t="s">
        <v>133</v>
      </c>
      <c r="F508" s="5" t="s">
        <v>1359</v>
      </c>
      <c r="G508" s="5"/>
      <c r="H508" s="5">
        <v>1998</v>
      </c>
      <c r="I508" s="5" t="s">
        <v>209</v>
      </c>
      <c r="J508" s="5" t="s">
        <v>212</v>
      </c>
      <c r="K508" s="5">
        <v>4.0999999999999996</v>
      </c>
      <c r="L508" s="5">
        <v>903</v>
      </c>
      <c r="M508" s="5">
        <v>0.5</v>
      </c>
      <c r="N508" s="5">
        <v>1790.0851063829789</v>
      </c>
      <c r="O508" s="5"/>
      <c r="P508" s="5" t="s">
        <v>212</v>
      </c>
      <c r="Q508" s="5" t="s">
        <v>57</v>
      </c>
      <c r="R508" s="5" t="s">
        <v>129</v>
      </c>
      <c r="S508" s="7" t="s">
        <v>1360</v>
      </c>
    </row>
    <row r="509" spans="1:19" x14ac:dyDescent="0.35">
      <c r="A509" s="6">
        <v>12161178</v>
      </c>
      <c r="B509" s="5" t="s">
        <v>1357</v>
      </c>
      <c r="C509" s="5" t="s">
        <v>163</v>
      </c>
      <c r="D509" s="5" t="s">
        <v>162</v>
      </c>
      <c r="E509" s="5" t="s">
        <v>133</v>
      </c>
      <c r="F509" s="5" t="s">
        <v>1356</v>
      </c>
      <c r="G509" s="5"/>
      <c r="H509" s="5">
        <v>1999</v>
      </c>
      <c r="I509" s="5" t="s">
        <v>178</v>
      </c>
      <c r="J509" s="5" t="s">
        <v>426</v>
      </c>
      <c r="K509" s="5">
        <v>4.0999999999999996</v>
      </c>
      <c r="L509" s="5">
        <v>903</v>
      </c>
      <c r="M509" s="5">
        <v>0.55000000000000004</v>
      </c>
      <c r="N509" s="5">
        <v>1790.0851063829789</v>
      </c>
      <c r="O509" s="5"/>
      <c r="P509" s="5" t="s">
        <v>426</v>
      </c>
      <c r="Q509" s="5" t="s">
        <v>55</v>
      </c>
      <c r="R509" s="5" t="s">
        <v>129</v>
      </c>
      <c r="S509" s="7" t="s">
        <v>1358</v>
      </c>
    </row>
    <row r="510" spans="1:19" x14ac:dyDescent="0.35">
      <c r="A510" s="6">
        <v>11364356</v>
      </c>
      <c r="B510" s="5" t="s">
        <v>472</v>
      </c>
      <c r="C510" s="5" t="s">
        <v>163</v>
      </c>
      <c r="D510" s="5" t="s">
        <v>228</v>
      </c>
      <c r="E510" s="5" t="s">
        <v>133</v>
      </c>
      <c r="F510" s="5" t="s">
        <v>1354</v>
      </c>
      <c r="G510" s="5"/>
      <c r="H510" s="5">
        <v>2499</v>
      </c>
      <c r="I510" s="5" t="s">
        <v>209</v>
      </c>
      <c r="J510" s="5" t="s">
        <v>196</v>
      </c>
      <c r="K510" s="5">
        <v>4.2</v>
      </c>
      <c r="L510" s="5">
        <v>903</v>
      </c>
      <c r="M510" s="5">
        <v>0.5</v>
      </c>
      <c r="N510" s="5">
        <v>1790.0851063829789</v>
      </c>
      <c r="O510" s="5"/>
      <c r="P510" s="5" t="s">
        <v>196</v>
      </c>
      <c r="Q510" s="5" t="s">
        <v>57</v>
      </c>
      <c r="R510" s="5" t="s">
        <v>129</v>
      </c>
      <c r="S510" s="7" t="s">
        <v>1355</v>
      </c>
    </row>
    <row r="511" spans="1:19" x14ac:dyDescent="0.35">
      <c r="A511" s="6">
        <v>2145329</v>
      </c>
      <c r="B511" s="5" t="s">
        <v>250</v>
      </c>
      <c r="C511" s="5" t="s">
        <v>189</v>
      </c>
      <c r="D511" s="5" t="s">
        <v>188</v>
      </c>
      <c r="E511" s="5" t="s">
        <v>140</v>
      </c>
      <c r="F511" s="5" t="s">
        <v>1352</v>
      </c>
      <c r="G511" s="5">
        <v>1149</v>
      </c>
      <c r="H511" s="5">
        <v>2299</v>
      </c>
      <c r="I511" s="5" t="s">
        <v>209</v>
      </c>
      <c r="J511" s="5" t="s">
        <v>624</v>
      </c>
      <c r="K511" s="5">
        <v>4.0999999999999996</v>
      </c>
      <c r="L511" s="5">
        <v>902</v>
      </c>
      <c r="M511" s="5">
        <v>0.5</v>
      </c>
      <c r="N511" s="5">
        <v>1351.2078667815099</v>
      </c>
      <c r="O511" s="5">
        <v>1149</v>
      </c>
      <c r="P511" s="5" t="s">
        <v>624</v>
      </c>
      <c r="Q511" s="5" t="s">
        <v>57</v>
      </c>
      <c r="R511" s="5" t="s">
        <v>129</v>
      </c>
      <c r="S511" s="7" t="s">
        <v>1353</v>
      </c>
    </row>
    <row r="512" spans="1:19" x14ac:dyDescent="0.35">
      <c r="A512" s="6">
        <v>9716723</v>
      </c>
      <c r="B512" s="5" t="s">
        <v>250</v>
      </c>
      <c r="C512" s="5" t="s">
        <v>189</v>
      </c>
      <c r="D512" s="5" t="s">
        <v>162</v>
      </c>
      <c r="E512" s="5" t="s">
        <v>140</v>
      </c>
      <c r="F512" s="5" t="s">
        <v>1350</v>
      </c>
      <c r="G512" s="5">
        <v>854</v>
      </c>
      <c r="H512" s="5">
        <v>1899</v>
      </c>
      <c r="I512" s="5" t="s">
        <v>178</v>
      </c>
      <c r="J512" s="5" t="s">
        <v>624</v>
      </c>
      <c r="K512" s="5">
        <v>4</v>
      </c>
      <c r="L512" s="5">
        <v>902</v>
      </c>
      <c r="M512" s="5">
        <v>0.55000000000000004</v>
      </c>
      <c r="N512" s="5">
        <v>1351.2078667815099</v>
      </c>
      <c r="O512" s="5">
        <v>854</v>
      </c>
      <c r="P512" s="5" t="s">
        <v>624</v>
      </c>
      <c r="Q512" s="5" t="s">
        <v>55</v>
      </c>
      <c r="R512" s="5" t="s">
        <v>129</v>
      </c>
      <c r="S512" s="7" t="s">
        <v>1351</v>
      </c>
    </row>
    <row r="513" spans="1:19" x14ac:dyDescent="0.35">
      <c r="A513" s="6">
        <v>11274708</v>
      </c>
      <c r="B513" s="5" t="s">
        <v>250</v>
      </c>
      <c r="C513" s="5" t="s">
        <v>189</v>
      </c>
      <c r="D513" s="5" t="s">
        <v>162</v>
      </c>
      <c r="E513" s="5" t="s">
        <v>140</v>
      </c>
      <c r="F513" s="5" t="s">
        <v>336</v>
      </c>
      <c r="G513" s="5">
        <v>719</v>
      </c>
      <c r="H513" s="5">
        <v>1799</v>
      </c>
      <c r="I513" s="5" t="s">
        <v>223</v>
      </c>
      <c r="J513" s="5" t="s">
        <v>408</v>
      </c>
      <c r="K513" s="5">
        <v>3.9</v>
      </c>
      <c r="L513" s="5">
        <v>902</v>
      </c>
      <c r="M513" s="5">
        <v>0.6</v>
      </c>
      <c r="N513" s="5">
        <v>1351.2078667815099</v>
      </c>
      <c r="O513" s="5">
        <v>719</v>
      </c>
      <c r="P513" s="5" t="s">
        <v>408</v>
      </c>
      <c r="Q513" s="5" t="s">
        <v>55</v>
      </c>
      <c r="R513" s="5" t="s">
        <v>129</v>
      </c>
      <c r="S513" s="7" t="s">
        <v>1349</v>
      </c>
    </row>
    <row r="514" spans="1:19" x14ac:dyDescent="0.35">
      <c r="A514" s="6">
        <v>1960337</v>
      </c>
      <c r="B514" s="5" t="s">
        <v>152</v>
      </c>
      <c r="C514" s="5" t="s">
        <v>75</v>
      </c>
      <c r="D514" s="5" t="s">
        <v>215</v>
      </c>
      <c r="E514" s="5" t="s">
        <v>140</v>
      </c>
      <c r="F514" s="5" t="s">
        <v>1347</v>
      </c>
      <c r="G514" s="5">
        <v>979</v>
      </c>
      <c r="H514" s="5">
        <v>2799</v>
      </c>
      <c r="I514" s="5" t="s">
        <v>197</v>
      </c>
      <c r="J514" s="5" t="s">
        <v>150</v>
      </c>
      <c r="K514" s="5">
        <v>4.4000000000000004</v>
      </c>
      <c r="L514" s="5">
        <v>902</v>
      </c>
      <c r="M514" s="5">
        <v>0.65</v>
      </c>
      <c r="N514" s="5">
        <v>1097.3783736315199</v>
      </c>
      <c r="O514" s="5">
        <v>979</v>
      </c>
      <c r="P514" s="5" t="s">
        <v>150</v>
      </c>
      <c r="Q514" s="5" t="s">
        <v>55</v>
      </c>
      <c r="R514" s="5" t="s">
        <v>129</v>
      </c>
      <c r="S514" s="7" t="s">
        <v>1348</v>
      </c>
    </row>
    <row r="515" spans="1:19" x14ac:dyDescent="0.35">
      <c r="A515" s="6">
        <v>10381405</v>
      </c>
      <c r="B515" s="5" t="s">
        <v>216</v>
      </c>
      <c r="C515" s="5" t="s">
        <v>142</v>
      </c>
      <c r="D515" s="5" t="s">
        <v>215</v>
      </c>
      <c r="E515" s="5" t="s">
        <v>140</v>
      </c>
      <c r="F515" s="5" t="s">
        <v>1345</v>
      </c>
      <c r="G515" s="5">
        <v>730</v>
      </c>
      <c r="H515" s="5">
        <v>1699</v>
      </c>
      <c r="I515" s="5" t="s">
        <v>213</v>
      </c>
      <c r="J515" s="5" t="s">
        <v>212</v>
      </c>
      <c r="K515" s="5">
        <v>4</v>
      </c>
      <c r="L515" s="5">
        <v>902</v>
      </c>
      <c r="M515" s="5">
        <v>0.56999999999999995</v>
      </c>
      <c r="N515" s="5">
        <v>1138.6340612208289</v>
      </c>
      <c r="O515" s="5">
        <v>730</v>
      </c>
      <c r="P515" s="5" t="s">
        <v>212</v>
      </c>
      <c r="Q515" s="5" t="s">
        <v>55</v>
      </c>
      <c r="R515" s="5" t="s">
        <v>129</v>
      </c>
      <c r="S515" s="7" t="s">
        <v>1346</v>
      </c>
    </row>
    <row r="516" spans="1:19" x14ac:dyDescent="0.35">
      <c r="A516" s="6">
        <v>6939221</v>
      </c>
      <c r="B516" s="5" t="s">
        <v>522</v>
      </c>
      <c r="C516" s="5" t="s">
        <v>163</v>
      </c>
      <c r="D516" s="5" t="s">
        <v>194</v>
      </c>
      <c r="E516" s="5" t="s">
        <v>133</v>
      </c>
      <c r="F516" s="5" t="s">
        <v>1343</v>
      </c>
      <c r="G516" s="5"/>
      <c r="H516" s="5">
        <v>1799</v>
      </c>
      <c r="I516" s="5" t="s">
        <v>209</v>
      </c>
      <c r="J516" s="5" t="s">
        <v>150</v>
      </c>
      <c r="K516" s="5">
        <v>4.0999999999999996</v>
      </c>
      <c r="L516" s="5">
        <v>902</v>
      </c>
      <c r="M516" s="5">
        <v>0.5</v>
      </c>
      <c r="N516" s="5">
        <v>1790.0851063829789</v>
      </c>
      <c r="O516" s="5"/>
      <c r="P516" s="5" t="s">
        <v>150</v>
      </c>
      <c r="Q516" s="5" t="s">
        <v>57</v>
      </c>
      <c r="R516" s="5" t="s">
        <v>129</v>
      </c>
      <c r="S516" s="7" t="s">
        <v>1344</v>
      </c>
    </row>
    <row r="517" spans="1:19" x14ac:dyDescent="0.35">
      <c r="A517" s="6">
        <v>12009576</v>
      </c>
      <c r="B517" s="5" t="s">
        <v>164</v>
      </c>
      <c r="C517" s="5" t="s">
        <v>163</v>
      </c>
      <c r="D517" s="5" t="s">
        <v>194</v>
      </c>
      <c r="E517" s="5" t="s">
        <v>133</v>
      </c>
      <c r="F517" s="5" t="s">
        <v>1341</v>
      </c>
      <c r="G517" s="5"/>
      <c r="H517" s="5">
        <v>799</v>
      </c>
      <c r="I517" s="5" t="s">
        <v>932</v>
      </c>
      <c r="J517" s="5" t="s">
        <v>212</v>
      </c>
      <c r="K517" s="5">
        <v>4.3</v>
      </c>
      <c r="L517" s="5">
        <v>902</v>
      </c>
      <c r="M517" s="5">
        <v>0.54</v>
      </c>
      <c r="N517" s="5">
        <v>1790.0851063829789</v>
      </c>
      <c r="O517" s="5"/>
      <c r="P517" s="5" t="s">
        <v>212</v>
      </c>
      <c r="Q517" s="5" t="s">
        <v>55</v>
      </c>
      <c r="R517" s="5" t="s">
        <v>129</v>
      </c>
      <c r="S517" s="7" t="s">
        <v>1342</v>
      </c>
    </row>
    <row r="518" spans="1:19" x14ac:dyDescent="0.35">
      <c r="A518" s="6">
        <v>12104196</v>
      </c>
      <c r="B518" s="5" t="s">
        <v>397</v>
      </c>
      <c r="C518" s="5" t="s">
        <v>163</v>
      </c>
      <c r="D518" s="5" t="s">
        <v>77</v>
      </c>
      <c r="E518" s="5" t="s">
        <v>133</v>
      </c>
      <c r="F518" s="5" t="s">
        <v>1339</v>
      </c>
      <c r="G518" s="5"/>
      <c r="H518" s="5">
        <v>1199</v>
      </c>
      <c r="I518" s="5"/>
      <c r="J518" s="5" t="s">
        <v>192</v>
      </c>
      <c r="K518" s="5">
        <v>4.5</v>
      </c>
      <c r="L518" s="5">
        <v>902</v>
      </c>
      <c r="M518" s="5"/>
      <c r="N518" s="5">
        <v>1790.0851063829789</v>
      </c>
      <c r="O518" s="5">
        <v>1790.0851063829789</v>
      </c>
      <c r="P518" s="5" t="s">
        <v>192</v>
      </c>
      <c r="Q518" s="5" t="s">
        <v>57</v>
      </c>
      <c r="R518" s="5" t="s">
        <v>129</v>
      </c>
      <c r="S518" s="7" t="s">
        <v>1340</v>
      </c>
    </row>
    <row r="519" spans="1:19" x14ac:dyDescent="0.35">
      <c r="A519" s="6">
        <v>11640816</v>
      </c>
      <c r="B519" s="5" t="s">
        <v>152</v>
      </c>
      <c r="C519" s="5" t="s">
        <v>189</v>
      </c>
      <c r="D519" s="5" t="s">
        <v>199</v>
      </c>
      <c r="E519" s="5" t="s">
        <v>140</v>
      </c>
      <c r="F519" s="5" t="s">
        <v>1337</v>
      </c>
      <c r="G519" s="5"/>
      <c r="H519" s="5">
        <v>1399</v>
      </c>
      <c r="I519" s="5"/>
      <c r="J519" s="5" t="s">
        <v>150</v>
      </c>
      <c r="K519" s="5">
        <v>4.0999999999999996</v>
      </c>
      <c r="L519" s="5">
        <v>901</v>
      </c>
      <c r="M519" s="5"/>
      <c r="N519" s="5">
        <v>1351.2078667815099</v>
      </c>
      <c r="O519" s="5">
        <v>1351.2078667815099</v>
      </c>
      <c r="P519" s="5" t="s">
        <v>150</v>
      </c>
      <c r="Q519" s="5" t="s">
        <v>57</v>
      </c>
      <c r="R519" s="5" t="s">
        <v>129</v>
      </c>
      <c r="S519" s="7" t="s">
        <v>1338</v>
      </c>
    </row>
    <row r="520" spans="1:19" x14ac:dyDescent="0.35">
      <c r="A520" s="6">
        <v>9376103</v>
      </c>
      <c r="B520" s="5" t="s">
        <v>143</v>
      </c>
      <c r="C520" s="5" t="s">
        <v>142</v>
      </c>
      <c r="D520" s="5" t="s">
        <v>77</v>
      </c>
      <c r="E520" s="5" t="s">
        <v>140</v>
      </c>
      <c r="F520" s="5" t="s">
        <v>1335</v>
      </c>
      <c r="G520" s="5">
        <v>404</v>
      </c>
      <c r="H520" s="5">
        <v>899</v>
      </c>
      <c r="I520" s="5" t="s">
        <v>178</v>
      </c>
      <c r="J520" s="5" t="s">
        <v>150</v>
      </c>
      <c r="K520" s="5">
        <v>4.3</v>
      </c>
      <c r="L520" s="5">
        <v>901</v>
      </c>
      <c r="M520" s="5">
        <v>0.55000000000000004</v>
      </c>
      <c r="N520" s="5">
        <v>1138.6340612208289</v>
      </c>
      <c r="O520" s="5">
        <v>404</v>
      </c>
      <c r="P520" s="5" t="s">
        <v>150</v>
      </c>
      <c r="Q520" s="5" t="s">
        <v>55</v>
      </c>
      <c r="R520" s="5" t="s">
        <v>129</v>
      </c>
      <c r="S520" s="7" t="s">
        <v>1336</v>
      </c>
    </row>
    <row r="521" spans="1:19" x14ac:dyDescent="0.35">
      <c r="A521" s="6">
        <v>10381759</v>
      </c>
      <c r="B521" s="5" t="s">
        <v>1023</v>
      </c>
      <c r="C521" s="5" t="s">
        <v>135</v>
      </c>
      <c r="D521" s="5" t="s">
        <v>174</v>
      </c>
      <c r="E521" s="5" t="s">
        <v>133</v>
      </c>
      <c r="F521" s="5" t="s">
        <v>1333</v>
      </c>
      <c r="G521" s="5">
        <v>1098</v>
      </c>
      <c r="H521" s="5">
        <v>1998</v>
      </c>
      <c r="I521" s="5" t="s">
        <v>36</v>
      </c>
      <c r="J521" s="5" t="s">
        <v>171</v>
      </c>
      <c r="K521" s="5">
        <v>4.2</v>
      </c>
      <c r="L521" s="5">
        <v>901</v>
      </c>
      <c r="M521" s="5">
        <v>0.45</v>
      </c>
      <c r="N521" s="5">
        <v>1493.337491012077</v>
      </c>
      <c r="O521" s="5">
        <v>1098</v>
      </c>
      <c r="P521" s="5" t="s">
        <v>171</v>
      </c>
      <c r="Q521" s="5" t="s">
        <v>57</v>
      </c>
      <c r="R521" s="5" t="s">
        <v>129</v>
      </c>
      <c r="S521" s="7" t="s">
        <v>1334</v>
      </c>
    </row>
    <row r="522" spans="1:19" x14ac:dyDescent="0.35">
      <c r="A522" s="6">
        <v>10440496</v>
      </c>
      <c r="B522" s="5" t="s">
        <v>200</v>
      </c>
      <c r="C522" s="5" t="s">
        <v>163</v>
      </c>
      <c r="D522" s="5" t="s">
        <v>228</v>
      </c>
      <c r="E522" s="5" t="s">
        <v>133</v>
      </c>
      <c r="F522" s="5" t="s">
        <v>1331</v>
      </c>
      <c r="G522" s="5"/>
      <c r="H522" s="5">
        <v>1899</v>
      </c>
      <c r="I522" s="5" t="s">
        <v>178</v>
      </c>
      <c r="J522" s="5" t="s">
        <v>192</v>
      </c>
      <c r="K522" s="5">
        <v>4.3</v>
      </c>
      <c r="L522" s="5">
        <v>901</v>
      </c>
      <c r="M522" s="5">
        <v>0.55000000000000004</v>
      </c>
      <c r="N522" s="5">
        <v>1790.0851063829789</v>
      </c>
      <c r="O522" s="5"/>
      <c r="P522" s="5" t="s">
        <v>192</v>
      </c>
      <c r="Q522" s="5" t="s">
        <v>55</v>
      </c>
      <c r="R522" s="5" t="s">
        <v>129</v>
      </c>
      <c r="S522" s="7" t="s">
        <v>1332</v>
      </c>
    </row>
    <row r="523" spans="1:19" x14ac:dyDescent="0.35">
      <c r="A523" s="6">
        <v>9114357</v>
      </c>
      <c r="B523" s="5" t="s">
        <v>250</v>
      </c>
      <c r="C523" s="5" t="s">
        <v>189</v>
      </c>
      <c r="D523" s="5" t="s">
        <v>162</v>
      </c>
      <c r="E523" s="5" t="s">
        <v>140</v>
      </c>
      <c r="F523" s="5" t="s">
        <v>1329</v>
      </c>
      <c r="G523" s="5">
        <v>1349</v>
      </c>
      <c r="H523" s="5">
        <v>2699</v>
      </c>
      <c r="I523" s="5" t="s">
        <v>209</v>
      </c>
      <c r="J523" s="5" t="s">
        <v>408</v>
      </c>
      <c r="K523" s="5">
        <v>3.5</v>
      </c>
      <c r="L523" s="5">
        <v>900</v>
      </c>
      <c r="M523" s="5">
        <v>0.5</v>
      </c>
      <c r="N523" s="5">
        <v>1351.2078667815099</v>
      </c>
      <c r="O523" s="5">
        <v>1349</v>
      </c>
      <c r="P523" s="5" t="s">
        <v>408</v>
      </c>
      <c r="Q523" s="5" t="s">
        <v>57</v>
      </c>
      <c r="R523" s="5" t="s">
        <v>129</v>
      </c>
      <c r="S523" s="7" t="s">
        <v>1330</v>
      </c>
    </row>
    <row r="524" spans="1:19" x14ac:dyDescent="0.35">
      <c r="A524" s="6">
        <v>11312646</v>
      </c>
      <c r="B524" s="5" t="s">
        <v>616</v>
      </c>
      <c r="C524" s="5" t="s">
        <v>135</v>
      </c>
      <c r="D524" s="5" t="s">
        <v>168</v>
      </c>
      <c r="E524" s="5" t="s">
        <v>140</v>
      </c>
      <c r="F524" s="5" t="s">
        <v>1327</v>
      </c>
      <c r="G524" s="5">
        <v>989</v>
      </c>
      <c r="H524" s="5">
        <v>2199</v>
      </c>
      <c r="I524" s="5" t="s">
        <v>178</v>
      </c>
      <c r="J524" s="5" t="s">
        <v>1326</v>
      </c>
      <c r="K524" s="5">
        <v>4.0999999999999996</v>
      </c>
      <c r="L524" s="5">
        <v>900</v>
      </c>
      <c r="M524" s="5">
        <v>0.55000000000000004</v>
      </c>
      <c r="N524" s="5">
        <v>1493.337491012077</v>
      </c>
      <c r="O524" s="5">
        <v>989</v>
      </c>
      <c r="P524" s="5" t="s">
        <v>1326</v>
      </c>
      <c r="Q524" s="5" t="s">
        <v>55</v>
      </c>
      <c r="R524" s="5" t="s">
        <v>129</v>
      </c>
      <c r="S524" s="7" t="s">
        <v>1328</v>
      </c>
    </row>
    <row r="525" spans="1:19" x14ac:dyDescent="0.35">
      <c r="A525" s="6">
        <v>8972475</v>
      </c>
      <c r="B525" s="5" t="s">
        <v>490</v>
      </c>
      <c r="C525" s="5" t="s">
        <v>142</v>
      </c>
      <c r="D525" s="5" t="s">
        <v>77</v>
      </c>
      <c r="E525" s="5" t="s">
        <v>140</v>
      </c>
      <c r="F525" s="5" t="s">
        <v>1324</v>
      </c>
      <c r="G525" s="5">
        <v>319</v>
      </c>
      <c r="H525" s="5">
        <v>799</v>
      </c>
      <c r="I525" s="5" t="s">
        <v>223</v>
      </c>
      <c r="J525" s="5" t="s">
        <v>150</v>
      </c>
      <c r="K525" s="5">
        <v>4.2</v>
      </c>
      <c r="L525" s="5">
        <v>900</v>
      </c>
      <c r="M525" s="5">
        <v>0.6</v>
      </c>
      <c r="N525" s="5">
        <v>1138.6340612208289</v>
      </c>
      <c r="O525" s="5">
        <v>319</v>
      </c>
      <c r="P525" s="5" t="s">
        <v>150</v>
      </c>
      <c r="Q525" s="5" t="s">
        <v>55</v>
      </c>
      <c r="R525" s="5" t="s">
        <v>129</v>
      </c>
      <c r="S525" s="7" t="s">
        <v>1325</v>
      </c>
    </row>
    <row r="526" spans="1:19" x14ac:dyDescent="0.35">
      <c r="A526" s="6">
        <v>12915204</v>
      </c>
      <c r="B526" s="5" t="s">
        <v>1322</v>
      </c>
      <c r="C526" s="5" t="s">
        <v>142</v>
      </c>
      <c r="D526" s="5" t="s">
        <v>77</v>
      </c>
      <c r="E526" s="5" t="s">
        <v>140</v>
      </c>
      <c r="F526" s="5" t="s">
        <v>1321</v>
      </c>
      <c r="G526" s="5">
        <v>449</v>
      </c>
      <c r="H526" s="5">
        <v>999</v>
      </c>
      <c r="I526" s="5" t="s">
        <v>1320</v>
      </c>
      <c r="J526" s="5" t="s">
        <v>391</v>
      </c>
      <c r="K526" s="5">
        <v>4.5999999999999996</v>
      </c>
      <c r="L526" s="5">
        <v>900</v>
      </c>
      <c r="M526" s="5">
        <v>5.5</v>
      </c>
      <c r="N526" s="5">
        <v>1138.6340612208289</v>
      </c>
      <c r="O526" s="5">
        <v>449</v>
      </c>
      <c r="P526" s="5" t="s">
        <v>391</v>
      </c>
      <c r="Q526" s="5" t="s">
        <v>55</v>
      </c>
      <c r="R526" s="5" t="s">
        <v>129</v>
      </c>
      <c r="S526" s="7" t="s">
        <v>1323</v>
      </c>
    </row>
    <row r="527" spans="1:19" x14ac:dyDescent="0.35">
      <c r="A527" s="6">
        <v>10649248</v>
      </c>
      <c r="B527" s="5" t="s">
        <v>169</v>
      </c>
      <c r="C527" s="5" t="s">
        <v>135</v>
      </c>
      <c r="D527" s="5" t="s">
        <v>168</v>
      </c>
      <c r="E527" s="5" t="s">
        <v>133</v>
      </c>
      <c r="F527" s="5" t="s">
        <v>1318</v>
      </c>
      <c r="G527" s="5">
        <v>594</v>
      </c>
      <c r="H527" s="5">
        <v>1449</v>
      </c>
      <c r="I527" s="5" t="s">
        <v>160</v>
      </c>
      <c r="J527" s="5" t="s">
        <v>150</v>
      </c>
      <c r="K527" s="5">
        <v>4.0999999999999996</v>
      </c>
      <c r="L527" s="5">
        <v>900</v>
      </c>
      <c r="M527" s="5">
        <v>0.59</v>
      </c>
      <c r="N527" s="5">
        <v>1493.337491012077</v>
      </c>
      <c r="O527" s="5">
        <v>594</v>
      </c>
      <c r="P527" s="5" t="s">
        <v>150</v>
      </c>
      <c r="Q527" s="5" t="s">
        <v>55</v>
      </c>
      <c r="R527" s="5" t="s">
        <v>129</v>
      </c>
      <c r="S527" s="7" t="s">
        <v>1319</v>
      </c>
    </row>
    <row r="528" spans="1:19" x14ac:dyDescent="0.35">
      <c r="A528" s="6">
        <v>11021016</v>
      </c>
      <c r="B528" s="5" t="s">
        <v>250</v>
      </c>
      <c r="C528" s="5" t="s">
        <v>163</v>
      </c>
      <c r="D528" s="5" t="s">
        <v>194</v>
      </c>
      <c r="E528" s="5" t="s">
        <v>133</v>
      </c>
      <c r="F528" s="5" t="s">
        <v>1316</v>
      </c>
      <c r="G528" s="5"/>
      <c r="H528" s="5">
        <v>1499</v>
      </c>
      <c r="I528" s="5" t="s">
        <v>209</v>
      </c>
      <c r="J528" s="5" t="s">
        <v>196</v>
      </c>
      <c r="K528" s="5">
        <v>4.4000000000000004</v>
      </c>
      <c r="L528" s="5">
        <v>900</v>
      </c>
      <c r="M528" s="5">
        <v>0.5</v>
      </c>
      <c r="N528" s="5">
        <v>1790.0851063829789</v>
      </c>
      <c r="O528" s="5"/>
      <c r="P528" s="5" t="s">
        <v>196</v>
      </c>
      <c r="Q528" s="5" t="s">
        <v>57</v>
      </c>
      <c r="R528" s="5" t="s">
        <v>129</v>
      </c>
      <c r="S528" s="7" t="s">
        <v>1317</v>
      </c>
    </row>
    <row r="529" spans="1:19" x14ac:dyDescent="0.35">
      <c r="A529" s="6">
        <v>11118422</v>
      </c>
      <c r="B529" s="5" t="s">
        <v>250</v>
      </c>
      <c r="C529" s="5" t="s">
        <v>163</v>
      </c>
      <c r="D529" s="5" t="s">
        <v>162</v>
      </c>
      <c r="E529" s="5" t="s">
        <v>133</v>
      </c>
      <c r="F529" s="5" t="s">
        <v>1314</v>
      </c>
      <c r="G529" s="5"/>
      <c r="H529" s="5">
        <v>1599</v>
      </c>
      <c r="I529" s="5" t="s">
        <v>509</v>
      </c>
      <c r="J529" s="5" t="s">
        <v>222</v>
      </c>
      <c r="K529" s="5">
        <v>4.0999999999999996</v>
      </c>
      <c r="L529" s="5">
        <v>900</v>
      </c>
      <c r="M529" s="5">
        <v>0.45</v>
      </c>
      <c r="N529" s="5">
        <v>1790.0851063829789</v>
      </c>
      <c r="O529" s="5"/>
      <c r="P529" s="5" t="s">
        <v>222</v>
      </c>
      <c r="Q529" s="5" t="s">
        <v>57</v>
      </c>
      <c r="R529" s="5" t="s">
        <v>129</v>
      </c>
      <c r="S529" s="7" t="s">
        <v>1315</v>
      </c>
    </row>
    <row r="530" spans="1:19" x14ac:dyDescent="0.35">
      <c r="A530" s="6">
        <v>2485350</v>
      </c>
      <c r="B530" s="5" t="s">
        <v>225</v>
      </c>
      <c r="C530" s="5" t="s">
        <v>189</v>
      </c>
      <c r="D530" s="5" t="s">
        <v>162</v>
      </c>
      <c r="E530" s="5" t="s">
        <v>140</v>
      </c>
      <c r="F530" s="5" t="s">
        <v>1312</v>
      </c>
      <c r="G530" s="5">
        <v>919</v>
      </c>
      <c r="H530" s="5">
        <v>2299</v>
      </c>
      <c r="I530" s="5" t="s">
        <v>223</v>
      </c>
      <c r="J530" s="5" t="s">
        <v>408</v>
      </c>
      <c r="K530" s="5">
        <v>3.6</v>
      </c>
      <c r="L530" s="5">
        <v>899</v>
      </c>
      <c r="M530" s="5">
        <v>0.6</v>
      </c>
      <c r="N530" s="5">
        <v>1351.2078667815099</v>
      </c>
      <c r="O530" s="5">
        <v>919</v>
      </c>
      <c r="P530" s="5" t="s">
        <v>408</v>
      </c>
      <c r="Q530" s="5" t="s">
        <v>55</v>
      </c>
      <c r="R530" s="5" t="s">
        <v>129</v>
      </c>
      <c r="S530" s="7" t="s">
        <v>1313</v>
      </c>
    </row>
    <row r="531" spans="1:19" x14ac:dyDescent="0.35">
      <c r="A531" s="6">
        <v>1199569</v>
      </c>
      <c r="B531" s="5" t="s">
        <v>703</v>
      </c>
      <c r="C531" s="5" t="s">
        <v>189</v>
      </c>
      <c r="D531" s="5" t="s">
        <v>188</v>
      </c>
      <c r="E531" s="5" t="s">
        <v>140</v>
      </c>
      <c r="F531" s="5" t="s">
        <v>1310</v>
      </c>
      <c r="G531" s="5">
        <v>899</v>
      </c>
      <c r="H531" s="5">
        <v>1799</v>
      </c>
      <c r="I531" s="5" t="s">
        <v>209</v>
      </c>
      <c r="J531" s="5" t="s">
        <v>185</v>
      </c>
      <c r="K531" s="5">
        <v>4.2</v>
      </c>
      <c r="L531" s="5">
        <v>899</v>
      </c>
      <c r="M531" s="5">
        <v>0.5</v>
      </c>
      <c r="N531" s="5">
        <v>1351.2078667815099</v>
      </c>
      <c r="O531" s="5">
        <v>899</v>
      </c>
      <c r="P531" s="5" t="s">
        <v>185</v>
      </c>
      <c r="Q531" s="5" t="s">
        <v>57</v>
      </c>
      <c r="R531" s="5" t="s">
        <v>129</v>
      </c>
      <c r="S531" s="7" t="s">
        <v>1311</v>
      </c>
    </row>
    <row r="532" spans="1:19" x14ac:dyDescent="0.35">
      <c r="A532" s="6">
        <v>1575063</v>
      </c>
      <c r="B532" s="5" t="s">
        <v>225</v>
      </c>
      <c r="C532" s="5" t="s">
        <v>156</v>
      </c>
      <c r="D532" s="5" t="s">
        <v>220</v>
      </c>
      <c r="E532" s="5" t="s">
        <v>140</v>
      </c>
      <c r="F532" s="5" t="s">
        <v>1308</v>
      </c>
      <c r="G532" s="5">
        <v>466</v>
      </c>
      <c r="H532" s="5">
        <v>549</v>
      </c>
      <c r="I532" s="5" t="s">
        <v>1307</v>
      </c>
      <c r="J532" s="5" t="s">
        <v>171</v>
      </c>
      <c r="K532" s="5">
        <v>4.4000000000000004</v>
      </c>
      <c r="L532" s="5">
        <v>899</v>
      </c>
      <c r="M532" s="5">
        <v>0.15</v>
      </c>
      <c r="N532" s="5">
        <v>691.83976143141149</v>
      </c>
      <c r="O532" s="5">
        <v>466</v>
      </c>
      <c r="P532" s="5" t="s">
        <v>171</v>
      </c>
      <c r="Q532" s="5" t="s">
        <v>57</v>
      </c>
      <c r="R532" s="5" t="s">
        <v>129</v>
      </c>
      <c r="S532" s="7" t="s">
        <v>1309</v>
      </c>
    </row>
    <row r="533" spans="1:19" x14ac:dyDescent="0.35">
      <c r="A533" s="6">
        <v>15098616</v>
      </c>
      <c r="B533" s="5" t="s">
        <v>1305</v>
      </c>
      <c r="C533" s="5" t="s">
        <v>135</v>
      </c>
      <c r="D533" s="5" t="s">
        <v>168</v>
      </c>
      <c r="E533" s="5" t="s">
        <v>133</v>
      </c>
      <c r="F533" s="5" t="s">
        <v>1304</v>
      </c>
      <c r="G533" s="5">
        <v>728</v>
      </c>
      <c r="H533" s="5">
        <v>2699</v>
      </c>
      <c r="I533" s="5" t="s">
        <v>1303</v>
      </c>
      <c r="J533" s="5" t="s">
        <v>196</v>
      </c>
      <c r="K533" s="5">
        <v>3.9</v>
      </c>
      <c r="L533" s="5">
        <v>899</v>
      </c>
      <c r="M533" s="5">
        <v>0.73</v>
      </c>
      <c r="N533" s="5">
        <v>1493.337491012077</v>
      </c>
      <c r="O533" s="5">
        <v>728</v>
      </c>
      <c r="P533" s="5" t="s">
        <v>196</v>
      </c>
      <c r="Q533" s="5" t="s">
        <v>55</v>
      </c>
      <c r="R533" s="5" t="s">
        <v>129</v>
      </c>
      <c r="S533" s="7" t="s">
        <v>1306</v>
      </c>
    </row>
    <row r="534" spans="1:19" x14ac:dyDescent="0.35">
      <c r="A534" s="6">
        <v>8813173</v>
      </c>
      <c r="B534" s="5" t="s">
        <v>143</v>
      </c>
      <c r="C534" s="5" t="s">
        <v>235</v>
      </c>
      <c r="D534" s="5" t="s">
        <v>77</v>
      </c>
      <c r="E534" s="5" t="s">
        <v>133</v>
      </c>
      <c r="F534" s="5" t="s">
        <v>1301</v>
      </c>
      <c r="G534" s="5">
        <v>284</v>
      </c>
      <c r="H534" s="5">
        <v>949</v>
      </c>
      <c r="I534" s="5" t="s">
        <v>283</v>
      </c>
      <c r="J534" s="5" t="s">
        <v>177</v>
      </c>
      <c r="K534" s="5">
        <v>4.0999999999999996</v>
      </c>
      <c r="L534" s="5">
        <v>899</v>
      </c>
      <c r="M534" s="5">
        <v>0.7</v>
      </c>
      <c r="N534" s="5">
        <v>923.69459774582197</v>
      </c>
      <c r="O534" s="5">
        <v>284</v>
      </c>
      <c r="P534" s="5" t="s">
        <v>177</v>
      </c>
      <c r="Q534" s="5" t="s">
        <v>55</v>
      </c>
      <c r="R534" s="5" t="s">
        <v>129</v>
      </c>
      <c r="S534" s="7" t="s">
        <v>1302</v>
      </c>
    </row>
    <row r="535" spans="1:19" x14ac:dyDescent="0.35">
      <c r="A535" s="6">
        <v>1617114</v>
      </c>
      <c r="B535" s="5" t="s">
        <v>475</v>
      </c>
      <c r="C535" s="5" t="s">
        <v>163</v>
      </c>
      <c r="D535" s="5" t="s">
        <v>194</v>
      </c>
      <c r="E535" s="5" t="s">
        <v>133</v>
      </c>
      <c r="F535" s="5" t="s">
        <v>1299</v>
      </c>
      <c r="G535" s="5"/>
      <c r="H535" s="5">
        <v>1290</v>
      </c>
      <c r="I535" s="5" t="s">
        <v>223</v>
      </c>
      <c r="J535" s="5" t="s">
        <v>422</v>
      </c>
      <c r="K535" s="5">
        <v>4</v>
      </c>
      <c r="L535" s="5">
        <v>899</v>
      </c>
      <c r="M535" s="5">
        <v>0.6</v>
      </c>
      <c r="N535" s="5">
        <v>1790.0851063829789</v>
      </c>
      <c r="O535" s="5"/>
      <c r="P535" s="5" t="s">
        <v>422</v>
      </c>
      <c r="Q535" s="5" t="s">
        <v>55</v>
      </c>
      <c r="R535" s="5" t="s">
        <v>129</v>
      </c>
      <c r="S535" s="7" t="s">
        <v>1300</v>
      </c>
    </row>
    <row r="536" spans="1:19" x14ac:dyDescent="0.35">
      <c r="A536" s="6">
        <v>14994900</v>
      </c>
      <c r="B536" s="5" t="s">
        <v>472</v>
      </c>
      <c r="C536" s="5" t="s">
        <v>163</v>
      </c>
      <c r="D536" s="5" t="s">
        <v>188</v>
      </c>
      <c r="E536" s="5" t="s">
        <v>133</v>
      </c>
      <c r="F536" s="5" t="s">
        <v>1297</v>
      </c>
      <c r="G536" s="5"/>
      <c r="H536" s="5">
        <v>1699</v>
      </c>
      <c r="I536" s="5" t="s">
        <v>36</v>
      </c>
      <c r="J536" s="5" t="s">
        <v>222</v>
      </c>
      <c r="K536" s="5">
        <v>4.5</v>
      </c>
      <c r="L536" s="5">
        <v>899</v>
      </c>
      <c r="M536" s="5">
        <v>0.45</v>
      </c>
      <c r="N536" s="5">
        <v>1790.0851063829789</v>
      </c>
      <c r="O536" s="5"/>
      <c r="P536" s="5" t="s">
        <v>222</v>
      </c>
      <c r="Q536" s="5" t="s">
        <v>57</v>
      </c>
      <c r="R536" s="5" t="s">
        <v>129</v>
      </c>
      <c r="S536" s="7" t="s">
        <v>1298</v>
      </c>
    </row>
    <row r="537" spans="1:19" x14ac:dyDescent="0.35">
      <c r="A537" s="6">
        <v>1566011</v>
      </c>
      <c r="B537" s="5" t="s">
        <v>463</v>
      </c>
      <c r="C537" s="5" t="s">
        <v>135</v>
      </c>
      <c r="D537" s="5" t="s">
        <v>174</v>
      </c>
      <c r="E537" s="5" t="s">
        <v>133</v>
      </c>
      <c r="F537" s="5" t="s">
        <v>1295</v>
      </c>
      <c r="G537" s="5">
        <v>615</v>
      </c>
      <c r="H537" s="5">
        <v>1119</v>
      </c>
      <c r="I537" s="5" t="s">
        <v>36</v>
      </c>
      <c r="J537" s="5" t="s">
        <v>171</v>
      </c>
      <c r="K537" s="5">
        <v>3.4</v>
      </c>
      <c r="L537" s="5">
        <v>898</v>
      </c>
      <c r="M537" s="5">
        <v>0.45</v>
      </c>
      <c r="N537" s="5">
        <v>1493.337491012077</v>
      </c>
      <c r="O537" s="5">
        <v>615</v>
      </c>
      <c r="P537" s="5" t="s">
        <v>171</v>
      </c>
      <c r="Q537" s="5" t="s">
        <v>57</v>
      </c>
      <c r="R537" s="5" t="s">
        <v>129</v>
      </c>
      <c r="S537" s="7" t="s">
        <v>1296</v>
      </c>
    </row>
    <row r="538" spans="1:19" x14ac:dyDescent="0.35">
      <c r="A538" s="6">
        <v>10089243</v>
      </c>
      <c r="B538" s="5" t="s">
        <v>169</v>
      </c>
      <c r="C538" s="5" t="s">
        <v>135</v>
      </c>
      <c r="D538" s="5" t="s">
        <v>377</v>
      </c>
      <c r="E538" s="5" t="s">
        <v>133</v>
      </c>
      <c r="F538" s="5" t="s">
        <v>1293</v>
      </c>
      <c r="G538" s="5">
        <v>764</v>
      </c>
      <c r="H538" s="5">
        <v>2249</v>
      </c>
      <c r="I538" s="5" t="s">
        <v>401</v>
      </c>
      <c r="J538" s="5" t="s">
        <v>150</v>
      </c>
      <c r="K538" s="5">
        <v>3.9</v>
      </c>
      <c r="L538" s="5">
        <v>898</v>
      </c>
      <c r="M538" s="5">
        <v>0.66</v>
      </c>
      <c r="N538" s="5">
        <v>1493.337491012077</v>
      </c>
      <c r="O538" s="5">
        <v>764</v>
      </c>
      <c r="P538" s="5" t="s">
        <v>150</v>
      </c>
      <c r="Q538" s="5" t="s">
        <v>55</v>
      </c>
      <c r="R538" s="5" t="s">
        <v>129</v>
      </c>
      <c r="S538" s="7" t="s">
        <v>1294</v>
      </c>
    </row>
    <row r="539" spans="1:19" x14ac:dyDescent="0.35">
      <c r="A539" s="6">
        <v>17524634</v>
      </c>
      <c r="B539" s="5" t="s">
        <v>225</v>
      </c>
      <c r="C539" s="5" t="s">
        <v>163</v>
      </c>
      <c r="D539" s="5" t="s">
        <v>77</v>
      </c>
      <c r="E539" s="5" t="s">
        <v>133</v>
      </c>
      <c r="F539" s="5" t="s">
        <v>258</v>
      </c>
      <c r="G539" s="5"/>
      <c r="H539" s="5">
        <v>1598</v>
      </c>
      <c r="I539" s="5" t="s">
        <v>209</v>
      </c>
      <c r="J539" s="5" t="s">
        <v>192</v>
      </c>
      <c r="K539" s="5">
        <v>4.2</v>
      </c>
      <c r="L539" s="5">
        <v>898</v>
      </c>
      <c r="M539" s="5">
        <v>0.5</v>
      </c>
      <c r="N539" s="5">
        <v>1790.0851063829789</v>
      </c>
      <c r="O539" s="5"/>
      <c r="P539" s="5" t="s">
        <v>192</v>
      </c>
      <c r="Q539" s="5" t="s">
        <v>57</v>
      </c>
      <c r="R539" s="5" t="s">
        <v>129</v>
      </c>
      <c r="S539" s="7" t="s">
        <v>1292</v>
      </c>
    </row>
    <row r="540" spans="1:19" x14ac:dyDescent="0.35">
      <c r="A540" s="6">
        <v>8083185</v>
      </c>
      <c r="B540" s="5" t="s">
        <v>164</v>
      </c>
      <c r="C540" s="5" t="s">
        <v>163</v>
      </c>
      <c r="D540" s="5" t="s">
        <v>162</v>
      </c>
      <c r="E540" s="5" t="s">
        <v>133</v>
      </c>
      <c r="F540" s="5" t="s">
        <v>1290</v>
      </c>
      <c r="G540" s="5"/>
      <c r="H540" s="5">
        <v>1899</v>
      </c>
      <c r="I540" s="5" t="s">
        <v>230</v>
      </c>
      <c r="J540" s="5" t="s">
        <v>505</v>
      </c>
      <c r="K540" s="5">
        <v>3.9</v>
      </c>
      <c r="L540" s="5">
        <v>898</v>
      </c>
      <c r="M540" s="5">
        <v>0.62</v>
      </c>
      <c r="N540" s="5">
        <v>1790.0851063829789</v>
      </c>
      <c r="O540" s="5"/>
      <c r="P540" s="5" t="s">
        <v>505</v>
      </c>
      <c r="Q540" s="5" t="s">
        <v>55</v>
      </c>
      <c r="R540" s="5" t="s">
        <v>129</v>
      </c>
      <c r="S540" s="7" t="s">
        <v>1291</v>
      </c>
    </row>
    <row r="541" spans="1:19" x14ac:dyDescent="0.35">
      <c r="A541" s="6">
        <v>10064533</v>
      </c>
      <c r="B541" s="5" t="s">
        <v>250</v>
      </c>
      <c r="C541" s="5" t="s">
        <v>189</v>
      </c>
      <c r="D541" s="5" t="s">
        <v>162</v>
      </c>
      <c r="E541" s="5" t="s">
        <v>140</v>
      </c>
      <c r="F541" s="5" t="s">
        <v>1288</v>
      </c>
      <c r="G541" s="5">
        <v>719</v>
      </c>
      <c r="H541" s="5">
        <v>1799</v>
      </c>
      <c r="I541" s="5" t="s">
        <v>223</v>
      </c>
      <c r="J541" s="5" t="s">
        <v>408</v>
      </c>
      <c r="K541" s="5">
        <v>3.9</v>
      </c>
      <c r="L541" s="5">
        <v>897</v>
      </c>
      <c r="M541" s="5">
        <v>0.6</v>
      </c>
      <c r="N541" s="5">
        <v>1351.2078667815099</v>
      </c>
      <c r="O541" s="5">
        <v>719</v>
      </c>
      <c r="P541" s="5" t="s">
        <v>408</v>
      </c>
      <c r="Q541" s="5" t="s">
        <v>55</v>
      </c>
      <c r="R541" s="5" t="s">
        <v>129</v>
      </c>
      <c r="S541" s="7" t="s">
        <v>1289</v>
      </c>
    </row>
    <row r="542" spans="1:19" x14ac:dyDescent="0.35">
      <c r="A542" s="6">
        <v>11902186</v>
      </c>
      <c r="B542" s="5" t="s">
        <v>517</v>
      </c>
      <c r="C542" s="5" t="s">
        <v>163</v>
      </c>
      <c r="D542" s="5" t="s">
        <v>403</v>
      </c>
      <c r="E542" s="5" t="s">
        <v>133</v>
      </c>
      <c r="F542" s="5" t="s">
        <v>1286</v>
      </c>
      <c r="G542" s="5"/>
      <c r="H542" s="5">
        <v>549</v>
      </c>
      <c r="I542" s="5"/>
      <c r="J542" s="5" t="s">
        <v>352</v>
      </c>
      <c r="K542" s="5">
        <v>4.5</v>
      </c>
      <c r="L542" s="5">
        <v>897</v>
      </c>
      <c r="M542" s="5"/>
      <c r="N542" s="5">
        <v>1790.0851063829789</v>
      </c>
      <c r="O542" s="5">
        <v>1790.0851063829789</v>
      </c>
      <c r="P542" s="5" t="s">
        <v>352</v>
      </c>
      <c r="Q542" s="5" t="s">
        <v>57</v>
      </c>
      <c r="R542" s="5" t="s">
        <v>129</v>
      </c>
      <c r="S542" s="7" t="s">
        <v>1287</v>
      </c>
    </row>
    <row r="543" spans="1:19" x14ac:dyDescent="0.35">
      <c r="A543" s="6">
        <v>2510307</v>
      </c>
      <c r="B543" s="5" t="s">
        <v>152</v>
      </c>
      <c r="C543" s="5" t="s">
        <v>156</v>
      </c>
      <c r="D543" s="5" t="s">
        <v>220</v>
      </c>
      <c r="E543" s="5" t="s">
        <v>140</v>
      </c>
      <c r="F543" s="5" t="s">
        <v>1284</v>
      </c>
      <c r="G543" s="5">
        <v>159</v>
      </c>
      <c r="H543" s="5">
        <v>399</v>
      </c>
      <c r="I543" s="5" t="s">
        <v>314</v>
      </c>
      <c r="J543" s="5" t="s">
        <v>171</v>
      </c>
      <c r="K543" s="5">
        <v>4.3</v>
      </c>
      <c r="L543" s="5">
        <v>896</v>
      </c>
      <c r="M543" s="5">
        <v>0.6</v>
      </c>
      <c r="N543" s="5">
        <v>691.83976143141149</v>
      </c>
      <c r="O543" s="5">
        <v>159</v>
      </c>
      <c r="P543" s="5" t="s">
        <v>171</v>
      </c>
      <c r="Q543" s="5" t="s">
        <v>55</v>
      </c>
      <c r="R543" s="5" t="s">
        <v>129</v>
      </c>
      <c r="S543" s="7" t="s">
        <v>1285</v>
      </c>
    </row>
    <row r="544" spans="1:19" x14ac:dyDescent="0.35">
      <c r="A544" s="6">
        <v>12520604</v>
      </c>
      <c r="B544" s="5" t="s">
        <v>143</v>
      </c>
      <c r="C544" s="5" t="s">
        <v>135</v>
      </c>
      <c r="D544" s="5" t="s">
        <v>168</v>
      </c>
      <c r="E544" s="5" t="s">
        <v>133</v>
      </c>
      <c r="F544" s="5" t="s">
        <v>1282</v>
      </c>
      <c r="G544" s="5">
        <v>472</v>
      </c>
      <c r="H544" s="5">
        <v>1349</v>
      </c>
      <c r="I544" s="5" t="s">
        <v>197</v>
      </c>
      <c r="J544" s="5" t="s">
        <v>177</v>
      </c>
      <c r="K544" s="5">
        <v>4.3</v>
      </c>
      <c r="L544" s="5">
        <v>896</v>
      </c>
      <c r="M544" s="5">
        <v>0.65</v>
      </c>
      <c r="N544" s="5">
        <v>1493.337491012077</v>
      </c>
      <c r="O544" s="5">
        <v>472</v>
      </c>
      <c r="P544" s="5" t="s">
        <v>177</v>
      </c>
      <c r="Q544" s="5" t="s">
        <v>55</v>
      </c>
      <c r="R544" s="5" t="s">
        <v>129</v>
      </c>
      <c r="S544" s="7" t="s">
        <v>1283</v>
      </c>
    </row>
    <row r="545" spans="1:19" x14ac:dyDescent="0.35">
      <c r="A545" s="6">
        <v>14489508</v>
      </c>
      <c r="B545" s="5" t="s">
        <v>308</v>
      </c>
      <c r="C545" s="5" t="s">
        <v>135</v>
      </c>
      <c r="D545" s="5" t="s">
        <v>168</v>
      </c>
      <c r="E545" s="5" t="s">
        <v>133</v>
      </c>
      <c r="F545" s="5" t="s">
        <v>1280</v>
      </c>
      <c r="G545" s="5">
        <v>979</v>
      </c>
      <c r="H545" s="5">
        <v>2799</v>
      </c>
      <c r="I545" s="5" t="s">
        <v>197</v>
      </c>
      <c r="J545" s="5" t="s">
        <v>150</v>
      </c>
      <c r="K545" s="5">
        <v>4.0999999999999996</v>
      </c>
      <c r="L545" s="5">
        <v>896</v>
      </c>
      <c r="M545" s="5">
        <v>0.65</v>
      </c>
      <c r="N545" s="5">
        <v>1493.337491012077</v>
      </c>
      <c r="O545" s="5">
        <v>979</v>
      </c>
      <c r="P545" s="5" t="s">
        <v>150</v>
      </c>
      <c r="Q545" s="5" t="s">
        <v>55</v>
      </c>
      <c r="R545" s="5" t="s">
        <v>129</v>
      </c>
      <c r="S545" s="7" t="s">
        <v>1281</v>
      </c>
    </row>
    <row r="546" spans="1:19" x14ac:dyDescent="0.35">
      <c r="A546" s="6">
        <v>14062984</v>
      </c>
      <c r="B546" s="5" t="s">
        <v>164</v>
      </c>
      <c r="C546" s="5" t="s">
        <v>163</v>
      </c>
      <c r="D546" s="5" t="s">
        <v>199</v>
      </c>
      <c r="E546" s="5" t="s">
        <v>133</v>
      </c>
      <c r="F546" s="5" t="s">
        <v>1278</v>
      </c>
      <c r="G546" s="5"/>
      <c r="H546" s="5">
        <v>1149</v>
      </c>
      <c r="I546" s="5" t="s">
        <v>186</v>
      </c>
      <c r="J546" s="5" t="s">
        <v>212</v>
      </c>
      <c r="K546" s="5">
        <v>4.3</v>
      </c>
      <c r="L546" s="5">
        <v>896</v>
      </c>
      <c r="M546" s="5">
        <v>0.61</v>
      </c>
      <c r="N546" s="5">
        <v>1790.0851063829789</v>
      </c>
      <c r="O546" s="5"/>
      <c r="P546" s="5" t="s">
        <v>212</v>
      </c>
      <c r="Q546" s="5" t="s">
        <v>55</v>
      </c>
      <c r="R546" s="5" t="s">
        <v>129</v>
      </c>
      <c r="S546" s="7" t="s">
        <v>1279</v>
      </c>
    </row>
    <row r="547" spans="1:19" x14ac:dyDescent="0.35">
      <c r="A547" s="6">
        <v>11099542</v>
      </c>
      <c r="B547" s="5" t="s">
        <v>752</v>
      </c>
      <c r="C547" s="5" t="s">
        <v>163</v>
      </c>
      <c r="D547" s="5" t="s">
        <v>228</v>
      </c>
      <c r="E547" s="5" t="s">
        <v>133</v>
      </c>
      <c r="F547" s="5" t="s">
        <v>1276</v>
      </c>
      <c r="G547" s="5"/>
      <c r="H547" s="5">
        <v>1699</v>
      </c>
      <c r="I547" s="5" t="s">
        <v>223</v>
      </c>
      <c r="J547" s="5" t="s">
        <v>150</v>
      </c>
      <c r="K547" s="5">
        <v>4</v>
      </c>
      <c r="L547" s="5">
        <v>896</v>
      </c>
      <c r="M547" s="5">
        <v>0.6</v>
      </c>
      <c r="N547" s="5">
        <v>1790.0851063829789</v>
      </c>
      <c r="O547" s="5"/>
      <c r="P547" s="5" t="s">
        <v>150</v>
      </c>
      <c r="Q547" s="5" t="s">
        <v>55</v>
      </c>
      <c r="R547" s="5" t="s">
        <v>129</v>
      </c>
      <c r="S547" s="7" t="s">
        <v>1277</v>
      </c>
    </row>
    <row r="548" spans="1:19" x14ac:dyDescent="0.35">
      <c r="A548" s="6">
        <v>15227166</v>
      </c>
      <c r="B548" s="5" t="s">
        <v>540</v>
      </c>
      <c r="C548" s="5" t="s">
        <v>163</v>
      </c>
      <c r="D548" s="5" t="s">
        <v>228</v>
      </c>
      <c r="E548" s="5" t="s">
        <v>133</v>
      </c>
      <c r="F548" s="5" t="s">
        <v>1274</v>
      </c>
      <c r="G548" s="5"/>
      <c r="H548" s="5">
        <v>2499</v>
      </c>
      <c r="I548" s="5" t="s">
        <v>205</v>
      </c>
      <c r="J548" s="5" t="s">
        <v>196</v>
      </c>
      <c r="K548" s="5">
        <v>4.5</v>
      </c>
      <c r="L548" s="5">
        <v>896</v>
      </c>
      <c r="M548" s="5">
        <v>0.35</v>
      </c>
      <c r="N548" s="5">
        <v>1790.0851063829789</v>
      </c>
      <c r="O548" s="5"/>
      <c r="P548" s="5" t="s">
        <v>196</v>
      </c>
      <c r="Q548" s="5" t="s">
        <v>57</v>
      </c>
      <c r="R548" s="5" t="s">
        <v>129</v>
      </c>
      <c r="S548" s="7" t="s">
        <v>1275</v>
      </c>
    </row>
    <row r="549" spans="1:19" x14ac:dyDescent="0.35">
      <c r="A549" s="6">
        <v>8325383</v>
      </c>
      <c r="B549" s="5" t="s">
        <v>225</v>
      </c>
      <c r="C549" s="5" t="s">
        <v>163</v>
      </c>
      <c r="D549" s="5" t="s">
        <v>77</v>
      </c>
      <c r="E549" s="5" t="s">
        <v>133</v>
      </c>
      <c r="F549" s="5" t="s">
        <v>1272</v>
      </c>
      <c r="G549" s="5"/>
      <c r="H549" s="5">
        <v>799</v>
      </c>
      <c r="I549" s="5" t="s">
        <v>178</v>
      </c>
      <c r="J549" s="5" t="s">
        <v>192</v>
      </c>
      <c r="K549" s="5">
        <v>4.0999999999999996</v>
      </c>
      <c r="L549" s="5">
        <v>896</v>
      </c>
      <c r="M549" s="5">
        <v>0.55000000000000004</v>
      </c>
      <c r="N549" s="5">
        <v>1790.0851063829789</v>
      </c>
      <c r="O549" s="5"/>
      <c r="P549" s="5" t="s">
        <v>192</v>
      </c>
      <c r="Q549" s="5" t="s">
        <v>55</v>
      </c>
      <c r="R549" s="5" t="s">
        <v>129</v>
      </c>
      <c r="S549" s="7" t="s">
        <v>1273</v>
      </c>
    </row>
    <row r="550" spans="1:19" x14ac:dyDescent="0.35">
      <c r="A550" s="6">
        <v>9436563</v>
      </c>
      <c r="B550" s="5" t="s">
        <v>65</v>
      </c>
      <c r="C550" s="5" t="s">
        <v>189</v>
      </c>
      <c r="D550" s="5" t="s">
        <v>199</v>
      </c>
      <c r="E550" s="5" t="s">
        <v>140</v>
      </c>
      <c r="F550" s="5" t="s">
        <v>1270</v>
      </c>
      <c r="G550" s="5">
        <v>621</v>
      </c>
      <c r="H550" s="5">
        <v>1109</v>
      </c>
      <c r="I550" s="5" t="s">
        <v>590</v>
      </c>
      <c r="J550" s="5" t="s">
        <v>1254</v>
      </c>
      <c r="K550" s="5">
        <v>3.8</v>
      </c>
      <c r="L550" s="5">
        <v>895</v>
      </c>
      <c r="M550" s="5">
        <v>0.44</v>
      </c>
      <c r="N550" s="5">
        <v>1351.2078667815099</v>
      </c>
      <c r="O550" s="5">
        <v>621</v>
      </c>
      <c r="P550" s="5" t="s">
        <v>1254</v>
      </c>
      <c r="Q550" s="5" t="s">
        <v>57</v>
      </c>
      <c r="R550" s="5" t="s">
        <v>129</v>
      </c>
      <c r="S550" s="7" t="s">
        <v>1271</v>
      </c>
    </row>
    <row r="551" spans="1:19" x14ac:dyDescent="0.35">
      <c r="A551" s="6">
        <v>10852574</v>
      </c>
      <c r="B551" s="5" t="s">
        <v>771</v>
      </c>
      <c r="C551" s="5" t="s">
        <v>156</v>
      </c>
      <c r="D551" s="5" t="s">
        <v>155</v>
      </c>
      <c r="E551" s="5" t="s">
        <v>140</v>
      </c>
      <c r="F551" s="5" t="s">
        <v>1268</v>
      </c>
      <c r="G551" s="5">
        <v>1199</v>
      </c>
      <c r="H551" s="5">
        <v>1499</v>
      </c>
      <c r="I551" s="5" t="s">
        <v>1267</v>
      </c>
      <c r="J551" s="5" t="s">
        <v>212</v>
      </c>
      <c r="K551" s="5">
        <v>4.3</v>
      </c>
      <c r="L551" s="5">
        <v>895</v>
      </c>
      <c r="M551" s="5">
        <v>3</v>
      </c>
      <c r="N551" s="5">
        <v>691.83976143141149</v>
      </c>
      <c r="O551" s="5">
        <v>1199</v>
      </c>
      <c r="P551" s="5" t="s">
        <v>212</v>
      </c>
      <c r="Q551" s="5" t="s">
        <v>55</v>
      </c>
      <c r="R551" s="5" t="s">
        <v>129</v>
      </c>
      <c r="S551" s="7" t="s">
        <v>1269</v>
      </c>
    </row>
    <row r="552" spans="1:19" x14ac:dyDescent="0.35">
      <c r="A552" s="6">
        <v>13265560</v>
      </c>
      <c r="B552" s="5" t="s">
        <v>671</v>
      </c>
      <c r="C552" s="5" t="s">
        <v>163</v>
      </c>
      <c r="D552" s="5" t="s">
        <v>162</v>
      </c>
      <c r="E552" s="5" t="s">
        <v>133</v>
      </c>
      <c r="F552" s="5" t="s">
        <v>1265</v>
      </c>
      <c r="G552" s="5"/>
      <c r="H552" s="5">
        <v>1099</v>
      </c>
      <c r="I552" s="5" t="s">
        <v>1264</v>
      </c>
      <c r="J552" s="5" t="s">
        <v>408</v>
      </c>
      <c r="K552" s="5">
        <v>4.0999999999999996</v>
      </c>
      <c r="L552" s="5">
        <v>895</v>
      </c>
      <c r="M552" s="5">
        <v>0.27</v>
      </c>
      <c r="N552" s="5">
        <v>1790.0851063829789</v>
      </c>
      <c r="O552" s="5"/>
      <c r="P552" s="5" t="s">
        <v>408</v>
      </c>
      <c r="Q552" s="5" t="s">
        <v>57</v>
      </c>
      <c r="R552" s="5" t="s">
        <v>129</v>
      </c>
      <c r="S552" s="7" t="s">
        <v>1266</v>
      </c>
    </row>
    <row r="553" spans="1:19" x14ac:dyDescent="0.35">
      <c r="A553" s="6">
        <v>12183976</v>
      </c>
      <c r="B553" s="5" t="s">
        <v>143</v>
      </c>
      <c r="C553" s="5" t="s">
        <v>189</v>
      </c>
      <c r="D553" s="5" t="s">
        <v>162</v>
      </c>
      <c r="E553" s="5" t="s">
        <v>140</v>
      </c>
      <c r="F553" s="5" t="s">
        <v>1262</v>
      </c>
      <c r="G553" s="5">
        <v>674</v>
      </c>
      <c r="H553" s="5">
        <v>2699</v>
      </c>
      <c r="I553" s="5" t="s">
        <v>310</v>
      </c>
      <c r="J553" s="5" t="s">
        <v>408</v>
      </c>
      <c r="K553" s="5">
        <v>3.7</v>
      </c>
      <c r="L553" s="5">
        <v>894</v>
      </c>
      <c r="M553" s="5">
        <v>0.75</v>
      </c>
      <c r="N553" s="5">
        <v>1351.2078667815099</v>
      </c>
      <c r="O553" s="5">
        <v>674</v>
      </c>
      <c r="P553" s="5" t="s">
        <v>408</v>
      </c>
      <c r="Q553" s="5" t="s">
        <v>55</v>
      </c>
      <c r="R553" s="5" t="s">
        <v>129</v>
      </c>
      <c r="S553" s="7" t="s">
        <v>1263</v>
      </c>
    </row>
    <row r="554" spans="1:19" x14ac:dyDescent="0.35">
      <c r="A554" s="6">
        <v>11807560</v>
      </c>
      <c r="B554" s="5" t="s">
        <v>157</v>
      </c>
      <c r="C554" s="5" t="s">
        <v>156</v>
      </c>
      <c r="D554" s="5" t="s">
        <v>155</v>
      </c>
      <c r="E554" s="5" t="s">
        <v>140</v>
      </c>
      <c r="F554" s="5" t="s">
        <v>1260</v>
      </c>
      <c r="G554" s="5">
        <v>881</v>
      </c>
      <c r="H554" s="5">
        <v>1798</v>
      </c>
      <c r="I554" s="5" t="s">
        <v>279</v>
      </c>
      <c r="J554" s="5" t="s">
        <v>150</v>
      </c>
      <c r="K554" s="5">
        <v>4.0999999999999996</v>
      </c>
      <c r="L554" s="5">
        <v>894</v>
      </c>
      <c r="M554" s="5">
        <v>0.51</v>
      </c>
      <c r="N554" s="5">
        <v>691.83976143141149</v>
      </c>
      <c r="O554" s="5">
        <v>881</v>
      </c>
      <c r="P554" s="5" t="s">
        <v>150</v>
      </c>
      <c r="Q554" s="5" t="s">
        <v>55</v>
      </c>
      <c r="R554" s="5" t="s">
        <v>129</v>
      </c>
      <c r="S554" s="7" t="s">
        <v>1261</v>
      </c>
    </row>
    <row r="555" spans="1:19" x14ac:dyDescent="0.35">
      <c r="A555" s="6">
        <v>11201504</v>
      </c>
      <c r="B555" s="5" t="s">
        <v>460</v>
      </c>
      <c r="C555" s="5" t="s">
        <v>135</v>
      </c>
      <c r="D555" s="5" t="s">
        <v>377</v>
      </c>
      <c r="E555" s="5" t="s">
        <v>133</v>
      </c>
      <c r="F555" s="5" t="s">
        <v>1258</v>
      </c>
      <c r="G555" s="5">
        <v>839</v>
      </c>
      <c r="H555" s="5">
        <v>2099</v>
      </c>
      <c r="I555" s="5" t="s">
        <v>223</v>
      </c>
      <c r="J555" s="5" t="s">
        <v>196</v>
      </c>
      <c r="K555" s="5">
        <v>4.0999999999999996</v>
      </c>
      <c r="L555" s="5">
        <v>894</v>
      </c>
      <c r="M555" s="5">
        <v>0.6</v>
      </c>
      <c r="N555" s="5">
        <v>1493.337491012077</v>
      </c>
      <c r="O555" s="5">
        <v>839</v>
      </c>
      <c r="P555" s="5" t="s">
        <v>196</v>
      </c>
      <c r="Q555" s="5" t="s">
        <v>55</v>
      </c>
      <c r="R555" s="5" t="s">
        <v>129</v>
      </c>
      <c r="S555" s="7" t="s">
        <v>1259</v>
      </c>
    </row>
    <row r="556" spans="1:19" x14ac:dyDescent="0.35">
      <c r="A556" s="6">
        <v>6632589</v>
      </c>
      <c r="B556" s="5" t="s">
        <v>1178</v>
      </c>
      <c r="C556" s="5" t="s">
        <v>273</v>
      </c>
      <c r="D556" s="5" t="s">
        <v>155</v>
      </c>
      <c r="E556" s="5" t="s">
        <v>133</v>
      </c>
      <c r="F556" s="5" t="s">
        <v>1256</v>
      </c>
      <c r="G556" s="5">
        <v>991</v>
      </c>
      <c r="H556" s="5">
        <v>1599</v>
      </c>
      <c r="I556" s="5" t="s">
        <v>1255</v>
      </c>
      <c r="J556" s="5" t="s">
        <v>1254</v>
      </c>
      <c r="K556" s="5">
        <v>3.8</v>
      </c>
      <c r="L556" s="5">
        <v>894</v>
      </c>
      <c r="M556" s="5">
        <v>0.38</v>
      </c>
      <c r="N556" s="5">
        <v>811.90284167198604</v>
      </c>
      <c r="O556" s="5">
        <v>991</v>
      </c>
      <c r="P556" s="5" t="s">
        <v>1254</v>
      </c>
      <c r="Q556" s="5" t="s">
        <v>57</v>
      </c>
      <c r="R556" s="5" t="s">
        <v>129</v>
      </c>
      <c r="S556" s="7" t="s">
        <v>1257</v>
      </c>
    </row>
    <row r="557" spans="1:19" x14ac:dyDescent="0.35">
      <c r="A557" s="6">
        <v>10248005</v>
      </c>
      <c r="B557" s="5" t="s">
        <v>355</v>
      </c>
      <c r="C557" s="5" t="s">
        <v>156</v>
      </c>
      <c r="D557" s="5" t="s">
        <v>442</v>
      </c>
      <c r="E557" s="5" t="s">
        <v>140</v>
      </c>
      <c r="F557" s="5" t="s">
        <v>1252</v>
      </c>
      <c r="G557" s="5">
        <v>265</v>
      </c>
      <c r="H557" s="5">
        <v>279</v>
      </c>
      <c r="I557" s="5" t="s">
        <v>594</v>
      </c>
      <c r="J557" s="5" t="s">
        <v>352</v>
      </c>
      <c r="K557" s="5">
        <v>4.0999999999999996</v>
      </c>
      <c r="L557" s="5">
        <v>893</v>
      </c>
      <c r="M557" s="5">
        <v>0.05</v>
      </c>
      <c r="N557" s="5">
        <v>691.83976143141149</v>
      </c>
      <c r="O557" s="5">
        <v>265</v>
      </c>
      <c r="P557" s="5" t="s">
        <v>352</v>
      </c>
      <c r="Q557" s="5" t="s">
        <v>57</v>
      </c>
      <c r="R557" s="5" t="s">
        <v>129</v>
      </c>
      <c r="S557" s="7" t="s">
        <v>1253</v>
      </c>
    </row>
    <row r="558" spans="1:19" x14ac:dyDescent="0.35">
      <c r="A558" s="6">
        <v>10341691</v>
      </c>
      <c r="B558" s="5" t="s">
        <v>148</v>
      </c>
      <c r="C558" s="5" t="s">
        <v>142</v>
      </c>
      <c r="D558" s="5" t="s">
        <v>141</v>
      </c>
      <c r="E558" s="5" t="s">
        <v>140</v>
      </c>
      <c r="F558" s="5" t="s">
        <v>1250</v>
      </c>
      <c r="G558" s="5">
        <v>725</v>
      </c>
      <c r="H558" s="5">
        <v>1649</v>
      </c>
      <c r="I558" s="5" t="s">
        <v>172</v>
      </c>
      <c r="J558" s="5" t="s">
        <v>145</v>
      </c>
      <c r="K558" s="5">
        <v>4</v>
      </c>
      <c r="L558" s="5">
        <v>893</v>
      </c>
      <c r="M558" s="5">
        <v>0.56000000000000005</v>
      </c>
      <c r="N558" s="5">
        <v>1138.6340612208289</v>
      </c>
      <c r="O558" s="5">
        <v>725</v>
      </c>
      <c r="P558" s="5" t="s">
        <v>145</v>
      </c>
      <c r="Q558" s="5" t="s">
        <v>55</v>
      </c>
      <c r="R558" s="5" t="s">
        <v>129</v>
      </c>
      <c r="S558" s="7" t="s">
        <v>1251</v>
      </c>
    </row>
    <row r="559" spans="1:19" x14ac:dyDescent="0.35">
      <c r="A559" s="6">
        <v>11632492</v>
      </c>
      <c r="B559" s="5" t="s">
        <v>250</v>
      </c>
      <c r="C559" s="5" t="s">
        <v>142</v>
      </c>
      <c r="D559" s="5" t="s">
        <v>77</v>
      </c>
      <c r="E559" s="5" t="s">
        <v>140</v>
      </c>
      <c r="F559" s="5" t="s">
        <v>1248</v>
      </c>
      <c r="G559" s="5">
        <v>274</v>
      </c>
      <c r="H559" s="5">
        <v>499</v>
      </c>
      <c r="I559" s="5" t="s">
        <v>36</v>
      </c>
      <c r="J559" s="5" t="s">
        <v>192</v>
      </c>
      <c r="K559" s="5">
        <v>4.2</v>
      </c>
      <c r="L559" s="5">
        <v>893</v>
      </c>
      <c r="M559" s="5">
        <v>0.45</v>
      </c>
      <c r="N559" s="5">
        <v>1138.6340612208289</v>
      </c>
      <c r="O559" s="5">
        <v>274</v>
      </c>
      <c r="P559" s="5" t="s">
        <v>192</v>
      </c>
      <c r="Q559" s="5" t="s">
        <v>57</v>
      </c>
      <c r="R559" s="5" t="s">
        <v>129</v>
      </c>
      <c r="S559" s="7" t="s">
        <v>1249</v>
      </c>
    </row>
    <row r="560" spans="1:19" x14ac:dyDescent="0.35">
      <c r="A560" s="6">
        <v>8160645</v>
      </c>
      <c r="B560" s="5" t="s">
        <v>424</v>
      </c>
      <c r="C560" s="5" t="s">
        <v>163</v>
      </c>
      <c r="D560" s="5" t="s">
        <v>194</v>
      </c>
      <c r="E560" s="5" t="s">
        <v>133</v>
      </c>
      <c r="F560" s="5" t="s">
        <v>1246</v>
      </c>
      <c r="G560" s="5"/>
      <c r="H560" s="5">
        <v>1699</v>
      </c>
      <c r="I560" s="5" t="s">
        <v>209</v>
      </c>
      <c r="J560" s="5" t="s">
        <v>192</v>
      </c>
      <c r="K560" s="5">
        <v>4.3</v>
      </c>
      <c r="L560" s="5">
        <v>893</v>
      </c>
      <c r="M560" s="5">
        <v>0.5</v>
      </c>
      <c r="N560" s="5">
        <v>1790.0851063829789</v>
      </c>
      <c r="O560" s="5"/>
      <c r="P560" s="5" t="s">
        <v>192</v>
      </c>
      <c r="Q560" s="5" t="s">
        <v>57</v>
      </c>
      <c r="R560" s="5" t="s">
        <v>129</v>
      </c>
      <c r="S560" s="7" t="s">
        <v>1247</v>
      </c>
    </row>
    <row r="561" spans="1:19" x14ac:dyDescent="0.35">
      <c r="A561" s="6">
        <v>17384212</v>
      </c>
      <c r="B561" s="5" t="s">
        <v>250</v>
      </c>
      <c r="C561" s="5" t="s">
        <v>163</v>
      </c>
      <c r="D561" s="5" t="s">
        <v>77</v>
      </c>
      <c r="E561" s="5" t="s">
        <v>133</v>
      </c>
      <c r="F561" s="5" t="s">
        <v>1244</v>
      </c>
      <c r="G561" s="5"/>
      <c r="H561" s="5">
        <v>1398</v>
      </c>
      <c r="I561" s="5"/>
      <c r="J561" s="5" t="s">
        <v>192</v>
      </c>
      <c r="K561" s="5">
        <v>4.0999999999999996</v>
      </c>
      <c r="L561" s="5">
        <v>893</v>
      </c>
      <c r="M561" s="5"/>
      <c r="N561" s="5">
        <v>1790.0851063829789</v>
      </c>
      <c r="O561" s="5">
        <v>1790.0851063829789</v>
      </c>
      <c r="P561" s="5" t="s">
        <v>192</v>
      </c>
      <c r="Q561" s="5" t="s">
        <v>57</v>
      </c>
      <c r="R561" s="5" t="s">
        <v>129</v>
      </c>
      <c r="S561" s="7" t="s">
        <v>1245</v>
      </c>
    </row>
    <row r="562" spans="1:19" x14ac:dyDescent="0.35">
      <c r="A562" s="6">
        <v>7572940</v>
      </c>
      <c r="B562" s="5" t="s">
        <v>169</v>
      </c>
      <c r="C562" s="5" t="s">
        <v>135</v>
      </c>
      <c r="D562" s="5" t="s">
        <v>377</v>
      </c>
      <c r="E562" s="5" t="s">
        <v>133</v>
      </c>
      <c r="F562" s="5" t="s">
        <v>1242</v>
      </c>
      <c r="G562" s="5">
        <v>1559</v>
      </c>
      <c r="H562" s="5">
        <v>3249</v>
      </c>
      <c r="I562" s="5" t="s">
        <v>645</v>
      </c>
      <c r="J562" s="5" t="s">
        <v>150</v>
      </c>
      <c r="K562" s="5">
        <v>4.0999999999999996</v>
      </c>
      <c r="L562" s="5">
        <v>892</v>
      </c>
      <c r="M562" s="5">
        <v>0.52</v>
      </c>
      <c r="N562" s="5">
        <v>1493.337491012077</v>
      </c>
      <c r="O562" s="5">
        <v>1559</v>
      </c>
      <c r="P562" s="5" t="s">
        <v>150</v>
      </c>
      <c r="Q562" s="5" t="s">
        <v>55</v>
      </c>
      <c r="R562" s="5" t="s">
        <v>129</v>
      </c>
      <c r="S562" s="7" t="s">
        <v>1243</v>
      </c>
    </row>
    <row r="563" spans="1:19" x14ac:dyDescent="0.35">
      <c r="A563" s="6">
        <v>12331848</v>
      </c>
      <c r="B563" s="5" t="s">
        <v>1240</v>
      </c>
      <c r="C563" s="5" t="s">
        <v>163</v>
      </c>
      <c r="D563" s="5" t="s">
        <v>77</v>
      </c>
      <c r="E563" s="5" t="s">
        <v>133</v>
      </c>
      <c r="F563" s="5" t="s">
        <v>1239</v>
      </c>
      <c r="G563" s="5"/>
      <c r="H563" s="5">
        <v>449</v>
      </c>
      <c r="I563" s="5" t="s">
        <v>1238</v>
      </c>
      <c r="J563" s="5" t="s">
        <v>177</v>
      </c>
      <c r="K563" s="5">
        <v>4.4000000000000004</v>
      </c>
      <c r="L563" s="5">
        <v>892</v>
      </c>
      <c r="M563" s="5">
        <v>0.38</v>
      </c>
      <c r="N563" s="5">
        <v>1790.0851063829789</v>
      </c>
      <c r="O563" s="5"/>
      <c r="P563" s="5" t="s">
        <v>177</v>
      </c>
      <c r="Q563" s="5" t="s">
        <v>57</v>
      </c>
      <c r="R563" s="5" t="s">
        <v>129</v>
      </c>
      <c r="S563" s="7" t="s">
        <v>1241</v>
      </c>
    </row>
    <row r="564" spans="1:19" x14ac:dyDescent="0.35">
      <c r="A564" s="6">
        <v>13070348</v>
      </c>
      <c r="B564" s="5" t="s">
        <v>216</v>
      </c>
      <c r="C564" s="5" t="s">
        <v>142</v>
      </c>
      <c r="D564" s="5" t="s">
        <v>215</v>
      </c>
      <c r="E564" s="5" t="s">
        <v>140</v>
      </c>
      <c r="F564" s="5" t="s">
        <v>1236</v>
      </c>
      <c r="G564" s="5">
        <v>730</v>
      </c>
      <c r="H564" s="5">
        <v>1699</v>
      </c>
      <c r="I564" s="5" t="s">
        <v>213</v>
      </c>
      <c r="J564" s="5" t="s">
        <v>212</v>
      </c>
      <c r="K564" s="5">
        <v>4.3</v>
      </c>
      <c r="L564" s="5">
        <v>891</v>
      </c>
      <c r="M564" s="5">
        <v>0.56999999999999995</v>
      </c>
      <c r="N564" s="5">
        <v>1138.6340612208289</v>
      </c>
      <c r="O564" s="5">
        <v>730</v>
      </c>
      <c r="P564" s="5" t="s">
        <v>212</v>
      </c>
      <c r="Q564" s="5" t="s">
        <v>55</v>
      </c>
      <c r="R564" s="5" t="s">
        <v>129</v>
      </c>
      <c r="S564" s="7" t="s">
        <v>1237</v>
      </c>
    </row>
    <row r="565" spans="1:19" x14ac:dyDescent="0.35">
      <c r="A565" s="6">
        <v>10759302</v>
      </c>
      <c r="B565" s="5" t="s">
        <v>250</v>
      </c>
      <c r="C565" s="5" t="s">
        <v>142</v>
      </c>
      <c r="D565" s="5" t="s">
        <v>141</v>
      </c>
      <c r="E565" s="5" t="s">
        <v>140</v>
      </c>
      <c r="F565" s="5" t="s">
        <v>1234</v>
      </c>
      <c r="G565" s="5">
        <v>1199</v>
      </c>
      <c r="H565" s="5">
        <v>1999</v>
      </c>
      <c r="I565" s="5" t="s">
        <v>131</v>
      </c>
      <c r="J565" s="5" t="s">
        <v>348</v>
      </c>
      <c r="K565" s="5">
        <v>4.3</v>
      </c>
      <c r="L565" s="5">
        <v>891</v>
      </c>
      <c r="M565" s="5">
        <v>0.4</v>
      </c>
      <c r="N565" s="5">
        <v>1138.6340612208289</v>
      </c>
      <c r="O565" s="5">
        <v>1199</v>
      </c>
      <c r="P565" s="5" t="s">
        <v>348</v>
      </c>
      <c r="Q565" s="5" t="s">
        <v>57</v>
      </c>
      <c r="R565" s="5" t="s">
        <v>129</v>
      </c>
      <c r="S565" s="7" t="s">
        <v>1235</v>
      </c>
    </row>
    <row r="566" spans="1:19" x14ac:dyDescent="0.35">
      <c r="A566" s="6">
        <v>11117398</v>
      </c>
      <c r="B566" s="5" t="s">
        <v>203</v>
      </c>
      <c r="C566" s="5" t="s">
        <v>135</v>
      </c>
      <c r="D566" s="5" t="s">
        <v>174</v>
      </c>
      <c r="E566" s="5" t="s">
        <v>133</v>
      </c>
      <c r="F566" s="5" t="s">
        <v>764</v>
      </c>
      <c r="G566" s="5">
        <v>1399</v>
      </c>
      <c r="H566" s="5">
        <v>4999</v>
      </c>
      <c r="I566" s="5" t="s">
        <v>1232</v>
      </c>
      <c r="J566" s="5" t="s">
        <v>171</v>
      </c>
      <c r="K566" s="5">
        <v>4.2</v>
      </c>
      <c r="L566" s="5">
        <v>891</v>
      </c>
      <c r="M566" s="5">
        <v>0.72</v>
      </c>
      <c r="N566" s="5">
        <v>1493.337491012077</v>
      </c>
      <c r="O566" s="5">
        <v>1399</v>
      </c>
      <c r="P566" s="5" t="s">
        <v>171</v>
      </c>
      <c r="Q566" s="5" t="s">
        <v>55</v>
      </c>
      <c r="R566" s="5" t="s">
        <v>129</v>
      </c>
      <c r="S566" s="7" t="s">
        <v>1233</v>
      </c>
    </row>
    <row r="567" spans="1:19" x14ac:dyDescent="0.35">
      <c r="A567" s="6">
        <v>10967126</v>
      </c>
      <c r="B567" s="5" t="s">
        <v>200</v>
      </c>
      <c r="C567" s="5" t="s">
        <v>163</v>
      </c>
      <c r="D567" s="5" t="s">
        <v>385</v>
      </c>
      <c r="E567" s="5" t="s">
        <v>133</v>
      </c>
      <c r="F567" s="5" t="s">
        <v>1230</v>
      </c>
      <c r="G567" s="5"/>
      <c r="H567" s="5">
        <v>1399</v>
      </c>
      <c r="I567" s="5" t="s">
        <v>197</v>
      </c>
      <c r="J567" s="5" t="s">
        <v>222</v>
      </c>
      <c r="K567" s="5">
        <v>4.0999999999999996</v>
      </c>
      <c r="L567" s="5">
        <v>891</v>
      </c>
      <c r="M567" s="5">
        <v>0.65</v>
      </c>
      <c r="N567" s="5">
        <v>1790.0851063829789</v>
      </c>
      <c r="O567" s="5"/>
      <c r="P567" s="5" t="s">
        <v>222</v>
      </c>
      <c r="Q567" s="5" t="s">
        <v>55</v>
      </c>
      <c r="R567" s="5" t="s">
        <v>129</v>
      </c>
      <c r="S567" s="7" t="s">
        <v>1231</v>
      </c>
    </row>
    <row r="568" spans="1:19" x14ac:dyDescent="0.35">
      <c r="A568" s="6">
        <v>17383532</v>
      </c>
      <c r="B568" s="5" t="s">
        <v>250</v>
      </c>
      <c r="C568" s="5" t="s">
        <v>163</v>
      </c>
      <c r="D568" s="5" t="s">
        <v>77</v>
      </c>
      <c r="E568" s="5" t="s">
        <v>133</v>
      </c>
      <c r="F568" s="5" t="s">
        <v>1228</v>
      </c>
      <c r="G568" s="5"/>
      <c r="H568" s="5">
        <v>1598</v>
      </c>
      <c r="I568" s="5" t="s">
        <v>209</v>
      </c>
      <c r="J568" s="5" t="s">
        <v>1227</v>
      </c>
      <c r="K568" s="5">
        <v>4.4000000000000004</v>
      </c>
      <c r="L568" s="5">
        <v>891</v>
      </c>
      <c r="M568" s="5">
        <v>0.5</v>
      </c>
      <c r="N568" s="5">
        <v>1790.0851063829789</v>
      </c>
      <c r="O568" s="5"/>
      <c r="P568" s="5" t="s">
        <v>1227</v>
      </c>
      <c r="Q568" s="5" t="s">
        <v>57</v>
      </c>
      <c r="R568" s="5" t="s">
        <v>129</v>
      </c>
      <c r="S568" s="7" t="s">
        <v>1229</v>
      </c>
    </row>
    <row r="569" spans="1:19" x14ac:dyDescent="0.35">
      <c r="A569" s="6">
        <v>4444122</v>
      </c>
      <c r="B569" s="5" t="s">
        <v>152</v>
      </c>
      <c r="C569" s="5" t="s">
        <v>163</v>
      </c>
      <c r="D569" s="5" t="s">
        <v>199</v>
      </c>
      <c r="E569" s="5" t="s">
        <v>133</v>
      </c>
      <c r="F569" s="5" t="s">
        <v>1225</v>
      </c>
      <c r="G569" s="5"/>
      <c r="H569" s="5">
        <v>2099</v>
      </c>
      <c r="I569" s="5" t="s">
        <v>197</v>
      </c>
      <c r="J569" s="5" t="s">
        <v>192</v>
      </c>
      <c r="K569" s="5">
        <v>4</v>
      </c>
      <c r="L569" s="5">
        <v>891</v>
      </c>
      <c r="M569" s="5">
        <v>0.65</v>
      </c>
      <c r="N569" s="5">
        <v>1790.0851063829789</v>
      </c>
      <c r="O569" s="5"/>
      <c r="P569" s="5" t="s">
        <v>192</v>
      </c>
      <c r="Q569" s="5" t="s">
        <v>55</v>
      </c>
      <c r="R569" s="5" t="s">
        <v>129</v>
      </c>
      <c r="S569" s="7" t="s">
        <v>1226</v>
      </c>
    </row>
    <row r="570" spans="1:19" x14ac:dyDescent="0.35">
      <c r="A570" s="6">
        <v>8317537</v>
      </c>
      <c r="B570" s="5" t="s">
        <v>1223</v>
      </c>
      <c r="C570" s="5" t="s">
        <v>163</v>
      </c>
      <c r="D570" s="5" t="s">
        <v>162</v>
      </c>
      <c r="E570" s="5" t="s">
        <v>133</v>
      </c>
      <c r="F570" s="5" t="s">
        <v>1222</v>
      </c>
      <c r="G570" s="5"/>
      <c r="H570" s="5">
        <v>2299</v>
      </c>
      <c r="I570" s="5" t="s">
        <v>209</v>
      </c>
      <c r="J570" s="5" t="s">
        <v>505</v>
      </c>
      <c r="K570" s="5">
        <v>4.3</v>
      </c>
      <c r="L570" s="5">
        <v>891</v>
      </c>
      <c r="M570" s="5">
        <v>0.5</v>
      </c>
      <c r="N570" s="5">
        <v>1790.0851063829789</v>
      </c>
      <c r="O570" s="5"/>
      <c r="P570" s="5" t="s">
        <v>505</v>
      </c>
      <c r="Q570" s="5" t="s">
        <v>57</v>
      </c>
      <c r="R570" s="5" t="s">
        <v>129</v>
      </c>
      <c r="S570" s="7" t="s">
        <v>1224</v>
      </c>
    </row>
    <row r="571" spans="1:19" x14ac:dyDescent="0.35">
      <c r="A571" s="6">
        <v>10856364</v>
      </c>
      <c r="B571" s="5" t="s">
        <v>472</v>
      </c>
      <c r="C571" s="5" t="s">
        <v>163</v>
      </c>
      <c r="D571" s="5" t="s">
        <v>228</v>
      </c>
      <c r="E571" s="5" t="s">
        <v>133</v>
      </c>
      <c r="F571" s="5" t="s">
        <v>1220</v>
      </c>
      <c r="G571" s="5"/>
      <c r="H571" s="5">
        <v>2399</v>
      </c>
      <c r="I571" s="5" t="s">
        <v>172</v>
      </c>
      <c r="J571" s="5" t="s">
        <v>196</v>
      </c>
      <c r="K571" s="5">
        <v>4.3</v>
      </c>
      <c r="L571" s="5">
        <v>891</v>
      </c>
      <c r="M571" s="5">
        <v>0.56000000000000005</v>
      </c>
      <c r="N571" s="5">
        <v>1790.0851063829789</v>
      </c>
      <c r="O571" s="5"/>
      <c r="P571" s="5" t="s">
        <v>196</v>
      </c>
      <c r="Q571" s="5" t="s">
        <v>55</v>
      </c>
      <c r="R571" s="5" t="s">
        <v>129</v>
      </c>
      <c r="S571" s="7" t="s">
        <v>1221</v>
      </c>
    </row>
    <row r="572" spans="1:19" x14ac:dyDescent="0.35">
      <c r="A572" s="6">
        <v>2367846</v>
      </c>
      <c r="B572" s="5" t="s">
        <v>250</v>
      </c>
      <c r="C572" s="5" t="s">
        <v>163</v>
      </c>
      <c r="D572" s="5" t="s">
        <v>385</v>
      </c>
      <c r="E572" s="5" t="s">
        <v>133</v>
      </c>
      <c r="F572" s="5" t="s">
        <v>1218</v>
      </c>
      <c r="G572" s="5"/>
      <c r="H572" s="5">
        <v>1999</v>
      </c>
      <c r="I572" s="5"/>
      <c r="J572" s="5" t="s">
        <v>222</v>
      </c>
      <c r="K572" s="5">
        <v>4.2</v>
      </c>
      <c r="L572" s="5">
        <v>891</v>
      </c>
      <c r="M572" s="5"/>
      <c r="N572" s="5">
        <v>1790.0851063829789</v>
      </c>
      <c r="O572" s="5">
        <v>1790.0851063829789</v>
      </c>
      <c r="P572" s="5" t="s">
        <v>222</v>
      </c>
      <c r="Q572" s="5" t="s">
        <v>57</v>
      </c>
      <c r="R572" s="5" t="s">
        <v>129</v>
      </c>
      <c r="S572" s="7" t="s">
        <v>1219</v>
      </c>
    </row>
    <row r="573" spans="1:19" x14ac:dyDescent="0.35">
      <c r="A573" s="6">
        <v>8988447</v>
      </c>
      <c r="B573" s="5" t="s">
        <v>190</v>
      </c>
      <c r="C573" s="5" t="s">
        <v>142</v>
      </c>
      <c r="D573" s="5" t="s">
        <v>141</v>
      </c>
      <c r="E573" s="5" t="s">
        <v>140</v>
      </c>
      <c r="F573" s="5" t="s">
        <v>1216</v>
      </c>
      <c r="G573" s="5">
        <v>751</v>
      </c>
      <c r="H573" s="5">
        <v>1599</v>
      </c>
      <c r="I573" s="5" t="s">
        <v>381</v>
      </c>
      <c r="J573" s="5" t="s">
        <v>145</v>
      </c>
      <c r="K573" s="5">
        <v>4</v>
      </c>
      <c r="L573" s="5">
        <v>890</v>
      </c>
      <c r="M573" s="5">
        <v>0.53</v>
      </c>
      <c r="N573" s="5">
        <v>1138.6340612208289</v>
      </c>
      <c r="O573" s="5">
        <v>751</v>
      </c>
      <c r="P573" s="5" t="s">
        <v>145</v>
      </c>
      <c r="Q573" s="5" t="s">
        <v>55</v>
      </c>
      <c r="R573" s="5" t="s">
        <v>129</v>
      </c>
      <c r="S573" s="7" t="s">
        <v>1217</v>
      </c>
    </row>
    <row r="574" spans="1:19" x14ac:dyDescent="0.35">
      <c r="A574" s="6">
        <v>11896318</v>
      </c>
      <c r="B574" s="5" t="s">
        <v>250</v>
      </c>
      <c r="C574" s="5" t="s">
        <v>142</v>
      </c>
      <c r="D574" s="5" t="s">
        <v>141</v>
      </c>
      <c r="E574" s="5" t="s">
        <v>140</v>
      </c>
      <c r="F574" s="5" t="s">
        <v>1214</v>
      </c>
      <c r="G574" s="5">
        <v>989</v>
      </c>
      <c r="H574" s="5">
        <v>2199</v>
      </c>
      <c r="I574" s="5" t="s">
        <v>178</v>
      </c>
      <c r="J574" s="5" t="s">
        <v>348</v>
      </c>
      <c r="K574" s="5">
        <v>4.0999999999999996</v>
      </c>
      <c r="L574" s="5">
        <v>890</v>
      </c>
      <c r="M574" s="5">
        <v>0.55000000000000004</v>
      </c>
      <c r="N574" s="5">
        <v>1138.6340612208289</v>
      </c>
      <c r="O574" s="5">
        <v>989</v>
      </c>
      <c r="P574" s="5" t="s">
        <v>348</v>
      </c>
      <c r="Q574" s="5" t="s">
        <v>55</v>
      </c>
      <c r="R574" s="5" t="s">
        <v>129</v>
      </c>
      <c r="S574" s="7" t="s">
        <v>1215</v>
      </c>
    </row>
    <row r="575" spans="1:19" x14ac:dyDescent="0.35">
      <c r="A575" s="6">
        <v>13932876</v>
      </c>
      <c r="B575" s="5" t="s">
        <v>1212</v>
      </c>
      <c r="C575" s="5" t="s">
        <v>135</v>
      </c>
      <c r="D575" s="5" t="s">
        <v>168</v>
      </c>
      <c r="E575" s="5" t="s">
        <v>133</v>
      </c>
      <c r="F575" s="5" t="s">
        <v>1211</v>
      </c>
      <c r="G575" s="5">
        <v>989</v>
      </c>
      <c r="H575" s="5">
        <v>2199</v>
      </c>
      <c r="I575" s="5" t="s">
        <v>178</v>
      </c>
      <c r="J575" s="5" t="s">
        <v>391</v>
      </c>
      <c r="K575" s="5">
        <v>4.3</v>
      </c>
      <c r="L575" s="5">
        <v>890</v>
      </c>
      <c r="M575" s="5">
        <v>0.55000000000000004</v>
      </c>
      <c r="N575" s="5">
        <v>1493.337491012077</v>
      </c>
      <c r="O575" s="5">
        <v>989</v>
      </c>
      <c r="P575" s="5" t="s">
        <v>391</v>
      </c>
      <c r="Q575" s="5" t="s">
        <v>55</v>
      </c>
      <c r="R575" s="5" t="s">
        <v>129</v>
      </c>
      <c r="S575" s="7" t="s">
        <v>1213</v>
      </c>
    </row>
    <row r="576" spans="1:19" x14ac:dyDescent="0.35">
      <c r="A576" s="6">
        <v>27502</v>
      </c>
      <c r="B576" s="5" t="s">
        <v>443</v>
      </c>
      <c r="C576" s="5" t="s">
        <v>273</v>
      </c>
      <c r="D576" s="5" t="s">
        <v>272</v>
      </c>
      <c r="E576" s="5" t="s">
        <v>133</v>
      </c>
      <c r="F576" s="5" t="s">
        <v>1209</v>
      </c>
      <c r="G576" s="5"/>
      <c r="H576" s="5">
        <v>429</v>
      </c>
      <c r="I576" s="5"/>
      <c r="J576" s="5" t="s">
        <v>1208</v>
      </c>
      <c r="K576" s="5">
        <v>4.5</v>
      </c>
      <c r="L576" s="5">
        <v>890</v>
      </c>
      <c r="M576" s="5"/>
      <c r="N576" s="5">
        <v>811.90284167198604</v>
      </c>
      <c r="O576" s="5">
        <v>811.90284167198604</v>
      </c>
      <c r="P576" s="5" t="s">
        <v>1208</v>
      </c>
      <c r="Q576" s="5" t="s">
        <v>57</v>
      </c>
      <c r="R576" s="5" t="s">
        <v>129</v>
      </c>
      <c r="S576" s="7" t="s">
        <v>1210</v>
      </c>
    </row>
    <row r="577" spans="1:19" x14ac:dyDescent="0.35">
      <c r="A577" s="6">
        <v>782817</v>
      </c>
      <c r="B577" s="5" t="s">
        <v>1206</v>
      </c>
      <c r="C577" s="5" t="s">
        <v>273</v>
      </c>
      <c r="D577" s="5" t="s">
        <v>442</v>
      </c>
      <c r="E577" s="5" t="s">
        <v>133</v>
      </c>
      <c r="F577" s="5" t="s">
        <v>1205</v>
      </c>
      <c r="G577" s="5">
        <v>485</v>
      </c>
      <c r="H577" s="5">
        <v>607</v>
      </c>
      <c r="I577" s="5" t="s">
        <v>876</v>
      </c>
      <c r="J577" s="5" t="s">
        <v>150</v>
      </c>
      <c r="K577" s="5">
        <v>3.8</v>
      </c>
      <c r="L577" s="5">
        <v>890</v>
      </c>
      <c r="M577" s="5">
        <v>0.2</v>
      </c>
      <c r="N577" s="5">
        <v>811.90284167198604</v>
      </c>
      <c r="O577" s="5">
        <v>485</v>
      </c>
      <c r="P577" s="5" t="s">
        <v>150</v>
      </c>
      <c r="Q577" s="5" t="s">
        <v>57</v>
      </c>
      <c r="R577" s="5" t="s">
        <v>129</v>
      </c>
      <c r="S577" s="7" t="s">
        <v>1207</v>
      </c>
    </row>
    <row r="578" spans="1:19" x14ac:dyDescent="0.35">
      <c r="A578" s="6">
        <v>6521613</v>
      </c>
      <c r="B578" s="5" t="s">
        <v>239</v>
      </c>
      <c r="C578" s="5" t="s">
        <v>235</v>
      </c>
      <c r="D578" s="5" t="s">
        <v>194</v>
      </c>
      <c r="E578" s="5" t="s">
        <v>133</v>
      </c>
      <c r="F578" s="5" t="s">
        <v>1203</v>
      </c>
      <c r="G578" s="5">
        <v>554</v>
      </c>
      <c r="H578" s="5">
        <v>1849</v>
      </c>
      <c r="I578" s="5" t="s">
        <v>283</v>
      </c>
      <c r="J578" s="5" t="s">
        <v>237</v>
      </c>
      <c r="K578" s="5">
        <v>3.8</v>
      </c>
      <c r="L578" s="5">
        <v>890</v>
      </c>
      <c r="M578" s="5">
        <v>0.7</v>
      </c>
      <c r="N578" s="5">
        <v>923.69459774582197</v>
      </c>
      <c r="O578" s="5">
        <v>554</v>
      </c>
      <c r="P578" s="5" t="s">
        <v>237</v>
      </c>
      <c r="Q578" s="5" t="s">
        <v>55</v>
      </c>
      <c r="R578" s="5" t="s">
        <v>129</v>
      </c>
      <c r="S578" s="7" t="s">
        <v>1204</v>
      </c>
    </row>
    <row r="579" spans="1:19" x14ac:dyDescent="0.35">
      <c r="A579" s="6">
        <v>17384820</v>
      </c>
      <c r="B579" s="5" t="s">
        <v>250</v>
      </c>
      <c r="C579" s="5" t="s">
        <v>163</v>
      </c>
      <c r="D579" s="5" t="s">
        <v>77</v>
      </c>
      <c r="E579" s="5" t="s">
        <v>133</v>
      </c>
      <c r="F579" s="5" t="s">
        <v>263</v>
      </c>
      <c r="G579" s="5"/>
      <c r="H579" s="5">
        <v>1398</v>
      </c>
      <c r="I579" s="5" t="s">
        <v>209</v>
      </c>
      <c r="J579" s="5" t="s">
        <v>192</v>
      </c>
      <c r="K579" s="5">
        <v>4.4000000000000004</v>
      </c>
      <c r="L579" s="5">
        <v>890</v>
      </c>
      <c r="M579" s="5">
        <v>0.5</v>
      </c>
      <c r="N579" s="5">
        <v>1790.0851063829789</v>
      </c>
      <c r="O579" s="5"/>
      <c r="P579" s="5" t="s">
        <v>192</v>
      </c>
      <c r="Q579" s="5" t="s">
        <v>57</v>
      </c>
      <c r="R579" s="5" t="s">
        <v>129</v>
      </c>
      <c r="S579" s="7" t="s">
        <v>1202</v>
      </c>
    </row>
    <row r="580" spans="1:19" x14ac:dyDescent="0.35">
      <c r="A580" s="6">
        <v>7287261</v>
      </c>
      <c r="B580" s="5" t="s">
        <v>424</v>
      </c>
      <c r="C580" s="5" t="s">
        <v>163</v>
      </c>
      <c r="D580" s="5" t="s">
        <v>194</v>
      </c>
      <c r="E580" s="5" t="s">
        <v>133</v>
      </c>
      <c r="F580" s="5" t="s">
        <v>1200</v>
      </c>
      <c r="G580" s="5"/>
      <c r="H580" s="5">
        <v>1499</v>
      </c>
      <c r="I580" s="5" t="s">
        <v>209</v>
      </c>
      <c r="J580" s="5" t="s">
        <v>192</v>
      </c>
      <c r="K580" s="5">
        <v>4.3</v>
      </c>
      <c r="L580" s="5">
        <v>890</v>
      </c>
      <c r="M580" s="5">
        <v>0.5</v>
      </c>
      <c r="N580" s="5">
        <v>1790.0851063829789</v>
      </c>
      <c r="O580" s="5"/>
      <c r="P580" s="5" t="s">
        <v>192</v>
      </c>
      <c r="Q580" s="5" t="s">
        <v>57</v>
      </c>
      <c r="R580" s="5" t="s">
        <v>129</v>
      </c>
      <c r="S580" s="7" t="s">
        <v>1201</v>
      </c>
    </row>
    <row r="581" spans="1:19" x14ac:dyDescent="0.35">
      <c r="A581" s="6">
        <v>8282019</v>
      </c>
      <c r="B581" s="5" t="s">
        <v>200</v>
      </c>
      <c r="C581" s="5" t="s">
        <v>163</v>
      </c>
      <c r="D581" s="5" t="s">
        <v>194</v>
      </c>
      <c r="E581" s="5" t="s">
        <v>133</v>
      </c>
      <c r="F581" s="5" t="s">
        <v>1198</v>
      </c>
      <c r="G581" s="5"/>
      <c r="H581" s="5">
        <v>1499</v>
      </c>
      <c r="I581" s="5" t="s">
        <v>178</v>
      </c>
      <c r="J581" s="5" t="s">
        <v>192</v>
      </c>
      <c r="K581" s="5">
        <v>4.2</v>
      </c>
      <c r="L581" s="5">
        <v>890</v>
      </c>
      <c r="M581" s="5">
        <v>0.55000000000000004</v>
      </c>
      <c r="N581" s="5">
        <v>1790.0851063829789</v>
      </c>
      <c r="O581" s="5"/>
      <c r="P581" s="5" t="s">
        <v>192</v>
      </c>
      <c r="Q581" s="5" t="s">
        <v>55</v>
      </c>
      <c r="R581" s="5" t="s">
        <v>129</v>
      </c>
      <c r="S581" s="7" t="s">
        <v>1199</v>
      </c>
    </row>
    <row r="582" spans="1:19" x14ac:dyDescent="0.35">
      <c r="A582" s="6">
        <v>9345953</v>
      </c>
      <c r="B582" s="5" t="s">
        <v>302</v>
      </c>
      <c r="C582" s="5" t="s">
        <v>135</v>
      </c>
      <c r="D582" s="5" t="s">
        <v>1196</v>
      </c>
      <c r="E582" s="5" t="s">
        <v>133</v>
      </c>
      <c r="F582" s="5" t="s">
        <v>1195</v>
      </c>
      <c r="G582" s="5">
        <v>494</v>
      </c>
      <c r="H582" s="5">
        <v>1099</v>
      </c>
      <c r="I582" s="5" t="s">
        <v>178</v>
      </c>
      <c r="J582" s="5" t="s">
        <v>171</v>
      </c>
      <c r="K582" s="5">
        <v>4.5999999999999996</v>
      </c>
      <c r="L582" s="5">
        <v>889</v>
      </c>
      <c r="M582" s="5">
        <v>0.55000000000000004</v>
      </c>
      <c r="N582" s="5">
        <v>1493.337491012077</v>
      </c>
      <c r="O582" s="5">
        <v>494</v>
      </c>
      <c r="P582" s="5" t="s">
        <v>171</v>
      </c>
      <c r="Q582" s="5" t="s">
        <v>55</v>
      </c>
      <c r="R582" s="5" t="s">
        <v>129</v>
      </c>
      <c r="S582" s="7" t="s">
        <v>1197</v>
      </c>
    </row>
    <row r="583" spans="1:19" x14ac:dyDescent="0.35">
      <c r="A583" s="6">
        <v>10264741</v>
      </c>
      <c r="B583" s="5" t="s">
        <v>175</v>
      </c>
      <c r="C583" s="5" t="s">
        <v>135</v>
      </c>
      <c r="D583" s="5" t="s">
        <v>174</v>
      </c>
      <c r="E583" s="5" t="s">
        <v>133</v>
      </c>
      <c r="F583" s="5" t="s">
        <v>1193</v>
      </c>
      <c r="G583" s="5">
        <v>881</v>
      </c>
      <c r="H583" s="5">
        <v>2099</v>
      </c>
      <c r="I583" s="5" t="s">
        <v>319</v>
      </c>
      <c r="J583" s="5" t="s">
        <v>171</v>
      </c>
      <c r="K583" s="5">
        <v>4.3</v>
      </c>
      <c r="L583" s="5">
        <v>889</v>
      </c>
      <c r="M583" s="5">
        <v>0.57999999999999996</v>
      </c>
      <c r="N583" s="5">
        <v>1493.337491012077</v>
      </c>
      <c r="O583" s="5">
        <v>881</v>
      </c>
      <c r="P583" s="5" t="s">
        <v>171</v>
      </c>
      <c r="Q583" s="5" t="s">
        <v>55</v>
      </c>
      <c r="R583" s="5" t="s">
        <v>129</v>
      </c>
      <c r="S583" s="7" t="s">
        <v>1194</v>
      </c>
    </row>
    <row r="584" spans="1:19" x14ac:dyDescent="0.35">
      <c r="A584" s="6">
        <v>11966466</v>
      </c>
      <c r="B584" s="5" t="s">
        <v>450</v>
      </c>
      <c r="C584" s="5" t="s">
        <v>163</v>
      </c>
      <c r="D584" s="5" t="s">
        <v>194</v>
      </c>
      <c r="E584" s="5" t="s">
        <v>133</v>
      </c>
      <c r="F584" s="5" t="s">
        <v>1191</v>
      </c>
      <c r="G584" s="5"/>
      <c r="H584" s="5">
        <v>1299</v>
      </c>
      <c r="I584" s="5" t="s">
        <v>178</v>
      </c>
      <c r="J584" s="5" t="s">
        <v>212</v>
      </c>
      <c r="K584" s="5">
        <v>4.2</v>
      </c>
      <c r="L584" s="5">
        <v>889</v>
      </c>
      <c r="M584" s="5">
        <v>0.55000000000000004</v>
      </c>
      <c r="N584" s="5">
        <v>1790.0851063829789</v>
      </c>
      <c r="O584" s="5"/>
      <c r="P584" s="5" t="s">
        <v>212</v>
      </c>
      <c r="Q584" s="5" t="s">
        <v>55</v>
      </c>
      <c r="R584" s="5" t="s">
        <v>129</v>
      </c>
      <c r="S584" s="7" t="s">
        <v>1192</v>
      </c>
    </row>
    <row r="585" spans="1:19" x14ac:dyDescent="0.35">
      <c r="A585" s="6">
        <v>13191668</v>
      </c>
      <c r="B585" s="5" t="s">
        <v>1189</v>
      </c>
      <c r="C585" s="5" t="s">
        <v>163</v>
      </c>
      <c r="D585" s="5" t="s">
        <v>228</v>
      </c>
      <c r="E585" s="5" t="s">
        <v>133</v>
      </c>
      <c r="F585" s="5" t="s">
        <v>1188</v>
      </c>
      <c r="G585" s="5"/>
      <c r="H585" s="5">
        <v>1798</v>
      </c>
      <c r="I585" s="5" t="s">
        <v>932</v>
      </c>
      <c r="J585" s="5" t="s">
        <v>212</v>
      </c>
      <c r="K585" s="5">
        <v>4.4000000000000004</v>
      </c>
      <c r="L585" s="5">
        <v>889</v>
      </c>
      <c r="M585" s="5">
        <v>0.54</v>
      </c>
      <c r="N585" s="5">
        <v>1790.0851063829789</v>
      </c>
      <c r="O585" s="5"/>
      <c r="P585" s="5" t="s">
        <v>212</v>
      </c>
      <c r="Q585" s="5" t="s">
        <v>55</v>
      </c>
      <c r="R585" s="5" t="s">
        <v>129</v>
      </c>
      <c r="S585" s="7" t="s">
        <v>1190</v>
      </c>
    </row>
    <row r="586" spans="1:19" x14ac:dyDescent="0.35">
      <c r="A586" s="6">
        <v>17384032</v>
      </c>
      <c r="B586" s="5" t="s">
        <v>250</v>
      </c>
      <c r="C586" s="5" t="s">
        <v>163</v>
      </c>
      <c r="D586" s="5" t="s">
        <v>77</v>
      </c>
      <c r="E586" s="5" t="s">
        <v>133</v>
      </c>
      <c r="F586" s="5" t="s">
        <v>1186</v>
      </c>
      <c r="G586" s="5"/>
      <c r="H586" s="5">
        <v>1298</v>
      </c>
      <c r="I586" s="5"/>
      <c r="J586" s="5" t="s">
        <v>255</v>
      </c>
      <c r="K586" s="5">
        <v>4.3</v>
      </c>
      <c r="L586" s="5">
        <v>889</v>
      </c>
      <c r="M586" s="5"/>
      <c r="N586" s="5">
        <v>1790.0851063829789</v>
      </c>
      <c r="O586" s="5">
        <v>1790.0851063829789</v>
      </c>
      <c r="P586" s="5" t="s">
        <v>255</v>
      </c>
      <c r="Q586" s="5" t="s">
        <v>57</v>
      </c>
      <c r="R586" s="5" t="s">
        <v>129</v>
      </c>
      <c r="S586" s="7" t="s">
        <v>1187</v>
      </c>
    </row>
    <row r="587" spans="1:19" x14ac:dyDescent="0.35">
      <c r="A587" s="6">
        <v>3077230</v>
      </c>
      <c r="B587" s="5" t="s">
        <v>190</v>
      </c>
      <c r="C587" s="5" t="s">
        <v>189</v>
      </c>
      <c r="D587" s="5" t="s">
        <v>162</v>
      </c>
      <c r="E587" s="5" t="s">
        <v>140</v>
      </c>
      <c r="F587" s="5" t="s">
        <v>1184</v>
      </c>
      <c r="G587" s="5">
        <v>849</v>
      </c>
      <c r="H587" s="5">
        <v>1699</v>
      </c>
      <c r="I587" s="5" t="s">
        <v>209</v>
      </c>
      <c r="J587" s="5" t="s">
        <v>380</v>
      </c>
      <c r="K587" s="5">
        <v>3.6</v>
      </c>
      <c r="L587" s="5">
        <v>888</v>
      </c>
      <c r="M587" s="5">
        <v>0.5</v>
      </c>
      <c r="N587" s="5">
        <v>1351.2078667815099</v>
      </c>
      <c r="O587" s="5">
        <v>849</v>
      </c>
      <c r="P587" s="5" t="s">
        <v>380</v>
      </c>
      <c r="Q587" s="5" t="s">
        <v>57</v>
      </c>
      <c r="R587" s="5" t="s">
        <v>129</v>
      </c>
      <c r="S587" s="7" t="s">
        <v>1185</v>
      </c>
    </row>
    <row r="588" spans="1:19" x14ac:dyDescent="0.35">
      <c r="A588" s="6">
        <v>618673</v>
      </c>
      <c r="B588" s="5" t="s">
        <v>225</v>
      </c>
      <c r="C588" s="5" t="s">
        <v>156</v>
      </c>
      <c r="D588" s="5" t="s">
        <v>220</v>
      </c>
      <c r="E588" s="5" t="s">
        <v>140</v>
      </c>
      <c r="F588" s="5" t="s">
        <v>1182</v>
      </c>
      <c r="G588" s="5">
        <v>179</v>
      </c>
      <c r="H588" s="5">
        <v>449</v>
      </c>
      <c r="I588" s="5" t="s">
        <v>314</v>
      </c>
      <c r="J588" s="5" t="s">
        <v>171</v>
      </c>
      <c r="K588" s="5">
        <v>4.2</v>
      </c>
      <c r="L588" s="5">
        <v>888</v>
      </c>
      <c r="M588" s="5">
        <v>0.6</v>
      </c>
      <c r="N588" s="5">
        <v>691.83976143141149</v>
      </c>
      <c r="O588" s="5">
        <v>179</v>
      </c>
      <c r="P588" s="5" t="s">
        <v>171</v>
      </c>
      <c r="Q588" s="5" t="s">
        <v>55</v>
      </c>
      <c r="R588" s="5" t="s">
        <v>129</v>
      </c>
      <c r="S588" s="7" t="s">
        <v>1183</v>
      </c>
    </row>
    <row r="589" spans="1:19" x14ac:dyDescent="0.35">
      <c r="A589" s="6">
        <v>11080108</v>
      </c>
      <c r="B589" s="5" t="s">
        <v>479</v>
      </c>
      <c r="C589" s="5" t="s">
        <v>135</v>
      </c>
      <c r="D589" s="5" t="s">
        <v>377</v>
      </c>
      <c r="E589" s="5" t="s">
        <v>133</v>
      </c>
      <c r="F589" s="5" t="s">
        <v>1180</v>
      </c>
      <c r="G589" s="5">
        <v>1739</v>
      </c>
      <c r="H589" s="5">
        <v>4460</v>
      </c>
      <c r="I589" s="5" t="s">
        <v>186</v>
      </c>
      <c r="J589" s="5" t="s">
        <v>150</v>
      </c>
      <c r="K589" s="5">
        <v>3.6</v>
      </c>
      <c r="L589" s="5">
        <v>888</v>
      </c>
      <c r="M589" s="5">
        <v>0.61</v>
      </c>
      <c r="N589" s="5">
        <v>1493.337491012077</v>
      </c>
      <c r="O589" s="5">
        <v>1739</v>
      </c>
      <c r="P589" s="5" t="s">
        <v>150</v>
      </c>
      <c r="Q589" s="5" t="s">
        <v>55</v>
      </c>
      <c r="R589" s="5" t="s">
        <v>129</v>
      </c>
      <c r="S589" s="7" t="s">
        <v>1181</v>
      </c>
    </row>
    <row r="590" spans="1:19" x14ac:dyDescent="0.35">
      <c r="A590" s="6">
        <v>12096672</v>
      </c>
      <c r="B590" s="5" t="s">
        <v>1178</v>
      </c>
      <c r="C590" s="5" t="s">
        <v>273</v>
      </c>
      <c r="D590" s="5" t="s">
        <v>155</v>
      </c>
      <c r="E590" s="5" t="s">
        <v>133</v>
      </c>
      <c r="F590" s="5" t="s">
        <v>1177</v>
      </c>
      <c r="G590" s="5">
        <v>699</v>
      </c>
      <c r="H590" s="5">
        <v>999</v>
      </c>
      <c r="I590" s="5" t="s">
        <v>218</v>
      </c>
      <c r="J590" s="5" t="s">
        <v>212</v>
      </c>
      <c r="K590" s="5">
        <v>4</v>
      </c>
      <c r="L590" s="5">
        <v>888</v>
      </c>
      <c r="M590" s="5">
        <v>0.3</v>
      </c>
      <c r="N590" s="5">
        <v>811.90284167198604</v>
      </c>
      <c r="O590" s="5">
        <v>699</v>
      </c>
      <c r="P590" s="5" t="s">
        <v>212</v>
      </c>
      <c r="Q590" s="5" t="s">
        <v>57</v>
      </c>
      <c r="R590" s="5" t="s">
        <v>129</v>
      </c>
      <c r="S590" s="7" t="s">
        <v>1179</v>
      </c>
    </row>
    <row r="591" spans="1:19" x14ac:dyDescent="0.35">
      <c r="A591" s="6">
        <v>11991406</v>
      </c>
      <c r="B591" s="5" t="s">
        <v>250</v>
      </c>
      <c r="C591" s="5" t="s">
        <v>163</v>
      </c>
      <c r="D591" s="5" t="s">
        <v>215</v>
      </c>
      <c r="E591" s="5" t="s">
        <v>133</v>
      </c>
      <c r="F591" s="5" t="s">
        <v>265</v>
      </c>
      <c r="G591" s="5"/>
      <c r="H591" s="5">
        <v>1199</v>
      </c>
      <c r="I591" s="5" t="s">
        <v>223</v>
      </c>
      <c r="J591" s="5" t="s">
        <v>196</v>
      </c>
      <c r="K591" s="5">
        <v>4.3</v>
      </c>
      <c r="L591" s="5">
        <v>888</v>
      </c>
      <c r="M591" s="5">
        <v>0.6</v>
      </c>
      <c r="N591" s="5">
        <v>1790.0851063829789</v>
      </c>
      <c r="O591" s="5"/>
      <c r="P591" s="5" t="s">
        <v>196</v>
      </c>
      <c r="Q591" s="5" t="s">
        <v>55</v>
      </c>
      <c r="R591" s="5" t="s">
        <v>129</v>
      </c>
      <c r="S591" s="7" t="s">
        <v>1176</v>
      </c>
    </row>
    <row r="592" spans="1:19" x14ac:dyDescent="0.35">
      <c r="A592" s="6">
        <v>12222024</v>
      </c>
      <c r="B592" s="5" t="s">
        <v>472</v>
      </c>
      <c r="C592" s="5" t="s">
        <v>163</v>
      </c>
      <c r="D592" s="5" t="s">
        <v>215</v>
      </c>
      <c r="E592" s="5" t="s">
        <v>133</v>
      </c>
      <c r="F592" s="5" t="s">
        <v>1174</v>
      </c>
      <c r="G592" s="5"/>
      <c r="H592" s="5">
        <v>1299</v>
      </c>
      <c r="I592" s="5" t="s">
        <v>209</v>
      </c>
      <c r="J592" s="5" t="s">
        <v>192</v>
      </c>
      <c r="K592" s="5">
        <v>4.0999999999999996</v>
      </c>
      <c r="L592" s="5">
        <v>888</v>
      </c>
      <c r="M592" s="5">
        <v>0.5</v>
      </c>
      <c r="N592" s="5">
        <v>1790.0851063829789</v>
      </c>
      <c r="O592" s="5"/>
      <c r="P592" s="5" t="s">
        <v>192</v>
      </c>
      <c r="Q592" s="5" t="s">
        <v>57</v>
      </c>
      <c r="R592" s="5" t="s">
        <v>129</v>
      </c>
      <c r="S592" s="7" t="s">
        <v>1175</v>
      </c>
    </row>
    <row r="593" spans="1:19" x14ac:dyDescent="0.35">
      <c r="A593" s="6">
        <v>10964434</v>
      </c>
      <c r="B593" s="5" t="s">
        <v>250</v>
      </c>
      <c r="C593" s="5" t="s">
        <v>163</v>
      </c>
      <c r="D593" s="5" t="s">
        <v>194</v>
      </c>
      <c r="E593" s="5" t="s">
        <v>133</v>
      </c>
      <c r="F593" s="5" t="s">
        <v>1172</v>
      </c>
      <c r="G593" s="5"/>
      <c r="H593" s="5">
        <v>799</v>
      </c>
      <c r="I593" s="5" t="s">
        <v>223</v>
      </c>
      <c r="J593" s="5" t="s">
        <v>192</v>
      </c>
      <c r="K593" s="5">
        <v>4.2</v>
      </c>
      <c r="L593" s="5">
        <v>888</v>
      </c>
      <c r="M593" s="5">
        <v>0.6</v>
      </c>
      <c r="N593" s="5">
        <v>1790.0851063829789</v>
      </c>
      <c r="O593" s="5"/>
      <c r="P593" s="5" t="s">
        <v>192</v>
      </c>
      <c r="Q593" s="5" t="s">
        <v>55</v>
      </c>
      <c r="R593" s="5" t="s">
        <v>129</v>
      </c>
      <c r="S593" s="7" t="s">
        <v>1173</v>
      </c>
    </row>
    <row r="594" spans="1:19" x14ac:dyDescent="0.35">
      <c r="A594" s="6">
        <v>10301079</v>
      </c>
      <c r="B594" s="5" t="s">
        <v>250</v>
      </c>
      <c r="C594" s="5" t="s">
        <v>163</v>
      </c>
      <c r="D594" s="5" t="s">
        <v>77</v>
      </c>
      <c r="E594" s="5" t="s">
        <v>133</v>
      </c>
      <c r="F594" s="5" t="s">
        <v>1170</v>
      </c>
      <c r="G594" s="5"/>
      <c r="H594" s="5">
        <v>999</v>
      </c>
      <c r="I594" s="5" t="s">
        <v>1169</v>
      </c>
      <c r="J594" s="5" t="s">
        <v>192</v>
      </c>
      <c r="K594" s="5">
        <v>4.4000000000000004</v>
      </c>
      <c r="L594" s="5">
        <v>888</v>
      </c>
      <c r="M594" s="5">
        <v>5</v>
      </c>
      <c r="N594" s="5">
        <v>1790.0851063829789</v>
      </c>
      <c r="O594" s="5"/>
      <c r="P594" s="5" t="s">
        <v>192</v>
      </c>
      <c r="Q594" s="5" t="s">
        <v>55</v>
      </c>
      <c r="R594" s="5" t="s">
        <v>129</v>
      </c>
      <c r="S594" s="7" t="s">
        <v>1171</v>
      </c>
    </row>
    <row r="595" spans="1:19" x14ac:dyDescent="0.35">
      <c r="A595" s="6">
        <v>13842332</v>
      </c>
      <c r="B595" s="5" t="s">
        <v>190</v>
      </c>
      <c r="C595" s="5" t="s">
        <v>189</v>
      </c>
      <c r="D595" s="5" t="s">
        <v>418</v>
      </c>
      <c r="E595" s="5" t="s">
        <v>140</v>
      </c>
      <c r="F595" s="5" t="s">
        <v>1167</v>
      </c>
      <c r="G595" s="5">
        <v>374</v>
      </c>
      <c r="H595" s="5">
        <v>749</v>
      </c>
      <c r="I595" s="5" t="s">
        <v>209</v>
      </c>
      <c r="J595" s="5" t="s">
        <v>185</v>
      </c>
      <c r="K595" s="5">
        <v>4.3</v>
      </c>
      <c r="L595" s="5">
        <v>887</v>
      </c>
      <c r="M595" s="5">
        <v>0.5</v>
      </c>
      <c r="N595" s="5">
        <v>1351.2078667815099</v>
      </c>
      <c r="O595" s="5">
        <v>374</v>
      </c>
      <c r="P595" s="5" t="s">
        <v>185</v>
      </c>
      <c r="Q595" s="5" t="s">
        <v>57</v>
      </c>
      <c r="R595" s="5" t="s">
        <v>129</v>
      </c>
      <c r="S595" s="7" t="s">
        <v>1168</v>
      </c>
    </row>
    <row r="596" spans="1:19" x14ac:dyDescent="0.35">
      <c r="A596" s="6">
        <v>8673407</v>
      </c>
      <c r="B596" s="5" t="s">
        <v>183</v>
      </c>
      <c r="C596" s="5" t="s">
        <v>189</v>
      </c>
      <c r="D596" s="5" t="s">
        <v>162</v>
      </c>
      <c r="E596" s="5" t="s">
        <v>140</v>
      </c>
      <c r="F596" s="5" t="s">
        <v>628</v>
      </c>
      <c r="G596" s="5">
        <v>1539</v>
      </c>
      <c r="H596" s="5">
        <v>2799</v>
      </c>
      <c r="I596" s="5" t="s">
        <v>36</v>
      </c>
      <c r="J596" s="5" t="s">
        <v>502</v>
      </c>
      <c r="K596" s="5">
        <v>4</v>
      </c>
      <c r="L596" s="5">
        <v>887</v>
      </c>
      <c r="M596" s="5">
        <v>0.45</v>
      </c>
      <c r="N596" s="5">
        <v>1351.2078667815099</v>
      </c>
      <c r="O596" s="5">
        <v>1539</v>
      </c>
      <c r="P596" s="5" t="s">
        <v>502</v>
      </c>
      <c r="Q596" s="5" t="s">
        <v>57</v>
      </c>
      <c r="R596" s="5" t="s">
        <v>129</v>
      </c>
      <c r="S596" s="7" t="s">
        <v>1166</v>
      </c>
    </row>
    <row r="597" spans="1:19" x14ac:dyDescent="0.35">
      <c r="A597" s="6">
        <v>1199568</v>
      </c>
      <c r="B597" s="5" t="s">
        <v>703</v>
      </c>
      <c r="C597" s="5" t="s">
        <v>189</v>
      </c>
      <c r="D597" s="5" t="s">
        <v>188</v>
      </c>
      <c r="E597" s="5" t="s">
        <v>140</v>
      </c>
      <c r="F597" s="5" t="s">
        <v>1164</v>
      </c>
      <c r="G597" s="5">
        <v>899</v>
      </c>
      <c r="H597" s="5">
        <v>1799</v>
      </c>
      <c r="I597" s="5" t="s">
        <v>209</v>
      </c>
      <c r="J597" s="5" t="s">
        <v>185</v>
      </c>
      <c r="K597" s="5">
        <v>4.0999999999999996</v>
      </c>
      <c r="L597" s="5">
        <v>887</v>
      </c>
      <c r="M597" s="5">
        <v>0.5</v>
      </c>
      <c r="N597" s="5">
        <v>1351.2078667815099</v>
      </c>
      <c r="O597" s="5">
        <v>899</v>
      </c>
      <c r="P597" s="5" t="s">
        <v>185</v>
      </c>
      <c r="Q597" s="5" t="s">
        <v>57</v>
      </c>
      <c r="R597" s="5" t="s">
        <v>129</v>
      </c>
      <c r="S597" s="7" t="s">
        <v>1165</v>
      </c>
    </row>
    <row r="598" spans="1:19" x14ac:dyDescent="0.35">
      <c r="A598" s="6">
        <v>4923947</v>
      </c>
      <c r="B598" s="5" t="s">
        <v>152</v>
      </c>
      <c r="C598" s="5" t="s">
        <v>75</v>
      </c>
      <c r="D598" s="5" t="s">
        <v>493</v>
      </c>
      <c r="E598" s="5" t="s">
        <v>140</v>
      </c>
      <c r="F598" s="5" t="s">
        <v>1162</v>
      </c>
      <c r="G598" s="5"/>
      <c r="H598" s="5">
        <v>2199</v>
      </c>
      <c r="I598" s="5"/>
      <c r="J598" s="5" t="s">
        <v>150</v>
      </c>
      <c r="K598" s="5">
        <v>3.8</v>
      </c>
      <c r="L598" s="5">
        <v>887</v>
      </c>
      <c r="M598" s="5"/>
      <c r="N598" s="5">
        <v>1097.3783736315199</v>
      </c>
      <c r="O598" s="5">
        <v>1097.3783736315199</v>
      </c>
      <c r="P598" s="5" t="s">
        <v>150</v>
      </c>
      <c r="Q598" s="5" t="s">
        <v>57</v>
      </c>
      <c r="R598" s="5" t="s">
        <v>129</v>
      </c>
      <c r="S598" s="7" t="s">
        <v>1163</v>
      </c>
    </row>
    <row r="599" spans="1:19" x14ac:dyDescent="0.35">
      <c r="A599" s="6">
        <v>11009086</v>
      </c>
      <c r="B599" s="5" t="s">
        <v>190</v>
      </c>
      <c r="C599" s="5" t="s">
        <v>142</v>
      </c>
      <c r="D599" s="5" t="s">
        <v>493</v>
      </c>
      <c r="E599" s="5" t="s">
        <v>140</v>
      </c>
      <c r="F599" s="5" t="s">
        <v>1160</v>
      </c>
      <c r="G599" s="5">
        <v>1151</v>
      </c>
      <c r="H599" s="5">
        <v>2449</v>
      </c>
      <c r="I599" s="5" t="s">
        <v>381</v>
      </c>
      <c r="J599" s="5" t="s">
        <v>212</v>
      </c>
      <c r="K599" s="5">
        <v>4.0999999999999996</v>
      </c>
      <c r="L599" s="5">
        <v>887</v>
      </c>
      <c r="M599" s="5">
        <v>0.53</v>
      </c>
      <c r="N599" s="5">
        <v>1138.6340612208289</v>
      </c>
      <c r="O599" s="5">
        <v>1151</v>
      </c>
      <c r="P599" s="5" t="s">
        <v>212</v>
      </c>
      <c r="Q599" s="5" t="s">
        <v>55</v>
      </c>
      <c r="R599" s="5" t="s">
        <v>129</v>
      </c>
      <c r="S599" s="7" t="s">
        <v>1161</v>
      </c>
    </row>
    <row r="600" spans="1:19" x14ac:dyDescent="0.35">
      <c r="A600" s="6">
        <v>4286779</v>
      </c>
      <c r="B600" s="5" t="s">
        <v>190</v>
      </c>
      <c r="C600" s="5" t="s">
        <v>142</v>
      </c>
      <c r="D600" s="5" t="s">
        <v>141</v>
      </c>
      <c r="E600" s="5" t="s">
        <v>140</v>
      </c>
      <c r="F600" s="5" t="s">
        <v>1158</v>
      </c>
      <c r="G600" s="5">
        <v>499</v>
      </c>
      <c r="H600" s="5">
        <v>999</v>
      </c>
      <c r="I600" s="5" t="s">
        <v>209</v>
      </c>
      <c r="J600" s="5" t="s">
        <v>145</v>
      </c>
      <c r="K600" s="5">
        <v>4.0999999999999996</v>
      </c>
      <c r="L600" s="5">
        <v>887</v>
      </c>
      <c r="M600" s="5">
        <v>0.5</v>
      </c>
      <c r="N600" s="5">
        <v>1138.6340612208289</v>
      </c>
      <c r="O600" s="5">
        <v>499</v>
      </c>
      <c r="P600" s="5" t="s">
        <v>145</v>
      </c>
      <c r="Q600" s="5" t="s">
        <v>57</v>
      </c>
      <c r="R600" s="5" t="s">
        <v>129</v>
      </c>
      <c r="S600" s="7" t="s">
        <v>1159</v>
      </c>
    </row>
    <row r="601" spans="1:19" x14ac:dyDescent="0.35">
      <c r="A601" s="6">
        <v>7745356</v>
      </c>
      <c r="B601" s="5" t="s">
        <v>460</v>
      </c>
      <c r="C601" s="5" t="s">
        <v>135</v>
      </c>
      <c r="D601" s="5" t="s">
        <v>228</v>
      </c>
      <c r="E601" s="5" t="s">
        <v>133</v>
      </c>
      <c r="F601" s="5" t="s">
        <v>1156</v>
      </c>
      <c r="G601" s="5">
        <v>879</v>
      </c>
      <c r="H601" s="5">
        <v>2199</v>
      </c>
      <c r="I601" s="5" t="s">
        <v>223</v>
      </c>
      <c r="J601" s="5" t="s">
        <v>192</v>
      </c>
      <c r="K601" s="5">
        <v>4.3</v>
      </c>
      <c r="L601" s="5">
        <v>887</v>
      </c>
      <c r="M601" s="5">
        <v>0.6</v>
      </c>
      <c r="N601" s="5">
        <v>1493.337491012077</v>
      </c>
      <c r="O601" s="5">
        <v>879</v>
      </c>
      <c r="P601" s="5" t="s">
        <v>192</v>
      </c>
      <c r="Q601" s="5" t="s">
        <v>55</v>
      </c>
      <c r="R601" s="5" t="s">
        <v>129</v>
      </c>
      <c r="S601" s="7" t="s">
        <v>1157</v>
      </c>
    </row>
    <row r="602" spans="1:19" x14ac:dyDescent="0.35">
      <c r="A602" s="6">
        <v>13647622</v>
      </c>
      <c r="B602" s="5" t="s">
        <v>308</v>
      </c>
      <c r="C602" s="5" t="s">
        <v>135</v>
      </c>
      <c r="D602" s="5" t="s">
        <v>168</v>
      </c>
      <c r="E602" s="5" t="s">
        <v>133</v>
      </c>
      <c r="F602" s="5" t="s">
        <v>1154</v>
      </c>
      <c r="G602" s="5">
        <v>1367</v>
      </c>
      <c r="H602" s="5">
        <v>3599</v>
      </c>
      <c r="I602" s="5" t="s">
        <v>230</v>
      </c>
      <c r="J602" s="5" t="s">
        <v>150</v>
      </c>
      <c r="K602" s="5">
        <v>4.3</v>
      </c>
      <c r="L602" s="5">
        <v>887</v>
      </c>
      <c r="M602" s="5">
        <v>0.62</v>
      </c>
      <c r="N602" s="5">
        <v>1493.337491012077</v>
      </c>
      <c r="O602" s="5">
        <v>1367</v>
      </c>
      <c r="P602" s="5" t="s">
        <v>150</v>
      </c>
      <c r="Q602" s="5" t="s">
        <v>55</v>
      </c>
      <c r="R602" s="5" t="s">
        <v>129</v>
      </c>
      <c r="S602" s="7" t="s">
        <v>1155</v>
      </c>
    </row>
    <row r="603" spans="1:19" x14ac:dyDescent="0.35">
      <c r="A603" s="6">
        <v>11704426</v>
      </c>
      <c r="B603" s="5" t="s">
        <v>152</v>
      </c>
      <c r="C603" s="5" t="s">
        <v>163</v>
      </c>
      <c r="D603" s="5" t="s">
        <v>77</v>
      </c>
      <c r="E603" s="5" t="s">
        <v>133</v>
      </c>
      <c r="F603" s="5" t="s">
        <v>1152</v>
      </c>
      <c r="G603" s="5"/>
      <c r="H603" s="5">
        <v>1099</v>
      </c>
      <c r="I603" s="5" t="s">
        <v>223</v>
      </c>
      <c r="J603" s="5" t="s">
        <v>1151</v>
      </c>
      <c r="K603" s="5">
        <v>4.2</v>
      </c>
      <c r="L603" s="5">
        <v>887</v>
      </c>
      <c r="M603" s="5">
        <v>0.6</v>
      </c>
      <c r="N603" s="5">
        <v>1790.0851063829789</v>
      </c>
      <c r="O603" s="5"/>
      <c r="P603" s="5" t="s">
        <v>1151</v>
      </c>
      <c r="Q603" s="5" t="s">
        <v>55</v>
      </c>
      <c r="R603" s="5" t="s">
        <v>129</v>
      </c>
      <c r="S603" s="7" t="s">
        <v>1153</v>
      </c>
    </row>
    <row r="604" spans="1:19" x14ac:dyDescent="0.35">
      <c r="A604" s="6">
        <v>11364204</v>
      </c>
      <c r="B604" s="5" t="s">
        <v>472</v>
      </c>
      <c r="C604" s="5" t="s">
        <v>163</v>
      </c>
      <c r="D604" s="5" t="s">
        <v>228</v>
      </c>
      <c r="E604" s="5" t="s">
        <v>133</v>
      </c>
      <c r="F604" s="5" t="s">
        <v>1149</v>
      </c>
      <c r="G604" s="5"/>
      <c r="H604" s="5">
        <v>2399</v>
      </c>
      <c r="I604" s="5" t="s">
        <v>223</v>
      </c>
      <c r="J604" s="5" t="s">
        <v>196</v>
      </c>
      <c r="K604" s="5">
        <v>4.0999999999999996</v>
      </c>
      <c r="L604" s="5">
        <v>887</v>
      </c>
      <c r="M604" s="5">
        <v>0.6</v>
      </c>
      <c r="N604" s="5">
        <v>1790.0851063829789</v>
      </c>
      <c r="O604" s="5"/>
      <c r="P604" s="5" t="s">
        <v>196</v>
      </c>
      <c r="Q604" s="5" t="s">
        <v>55</v>
      </c>
      <c r="R604" s="5" t="s">
        <v>129</v>
      </c>
      <c r="S604" s="7" t="s">
        <v>1150</v>
      </c>
    </row>
    <row r="605" spans="1:19" x14ac:dyDescent="0.35">
      <c r="A605" s="6">
        <v>17383238</v>
      </c>
      <c r="B605" s="5" t="s">
        <v>250</v>
      </c>
      <c r="C605" s="5" t="s">
        <v>163</v>
      </c>
      <c r="D605" s="5" t="s">
        <v>77</v>
      </c>
      <c r="E605" s="5" t="s">
        <v>133</v>
      </c>
      <c r="F605" s="5" t="s">
        <v>1147</v>
      </c>
      <c r="G605" s="5"/>
      <c r="H605" s="5">
        <v>1598</v>
      </c>
      <c r="I605" s="5"/>
      <c r="J605" s="5" t="s">
        <v>255</v>
      </c>
      <c r="K605" s="5">
        <v>4.3</v>
      </c>
      <c r="L605" s="5">
        <v>887</v>
      </c>
      <c r="M605" s="5"/>
      <c r="N605" s="5">
        <v>1790.0851063829789</v>
      </c>
      <c r="O605" s="5">
        <v>1790.0851063829789</v>
      </c>
      <c r="P605" s="5" t="s">
        <v>255</v>
      </c>
      <c r="Q605" s="5" t="s">
        <v>57</v>
      </c>
      <c r="R605" s="5" t="s">
        <v>129</v>
      </c>
      <c r="S605" s="7" t="s">
        <v>1148</v>
      </c>
    </row>
    <row r="606" spans="1:19" x14ac:dyDescent="0.35">
      <c r="A606" s="6">
        <v>11895970</v>
      </c>
      <c r="B606" s="5" t="s">
        <v>250</v>
      </c>
      <c r="C606" s="5" t="s">
        <v>142</v>
      </c>
      <c r="D606" s="5" t="s">
        <v>141</v>
      </c>
      <c r="E606" s="5" t="s">
        <v>140</v>
      </c>
      <c r="F606" s="5" t="s">
        <v>1145</v>
      </c>
      <c r="G606" s="5">
        <v>629</v>
      </c>
      <c r="H606" s="5">
        <v>1399</v>
      </c>
      <c r="I606" s="5" t="s">
        <v>178</v>
      </c>
      <c r="J606" s="5" t="s">
        <v>276</v>
      </c>
      <c r="K606" s="5">
        <v>4.4000000000000004</v>
      </c>
      <c r="L606" s="5">
        <v>886</v>
      </c>
      <c r="M606" s="5">
        <v>0.55000000000000004</v>
      </c>
      <c r="N606" s="5">
        <v>1138.6340612208289</v>
      </c>
      <c r="O606" s="5">
        <v>629</v>
      </c>
      <c r="P606" s="5" t="s">
        <v>276</v>
      </c>
      <c r="Q606" s="5" t="s">
        <v>55</v>
      </c>
      <c r="R606" s="5" t="s">
        <v>129</v>
      </c>
      <c r="S606" s="7" t="s">
        <v>1146</v>
      </c>
    </row>
    <row r="607" spans="1:19" x14ac:dyDescent="0.35">
      <c r="A607" s="6">
        <v>8255921</v>
      </c>
      <c r="B607" s="5" t="s">
        <v>1143</v>
      </c>
      <c r="C607" s="5" t="s">
        <v>142</v>
      </c>
      <c r="D607" s="5" t="s">
        <v>77</v>
      </c>
      <c r="E607" s="5" t="s">
        <v>140</v>
      </c>
      <c r="F607" s="5" t="s">
        <v>1142</v>
      </c>
      <c r="G607" s="5">
        <v>797</v>
      </c>
      <c r="H607" s="5">
        <v>985</v>
      </c>
      <c r="I607" s="5" t="s">
        <v>1141</v>
      </c>
      <c r="J607" s="5" t="s">
        <v>391</v>
      </c>
      <c r="K607" s="5">
        <v>4.4000000000000004</v>
      </c>
      <c r="L607" s="5">
        <v>886</v>
      </c>
      <c r="M607" s="5">
        <v>0.19</v>
      </c>
      <c r="N607" s="5">
        <v>1138.6340612208289</v>
      </c>
      <c r="O607" s="5">
        <v>797</v>
      </c>
      <c r="P607" s="5" t="s">
        <v>391</v>
      </c>
      <c r="Q607" s="5" t="s">
        <v>57</v>
      </c>
      <c r="R607" s="5" t="s">
        <v>129</v>
      </c>
      <c r="S607" s="7" t="s">
        <v>1144</v>
      </c>
    </row>
    <row r="608" spans="1:19" x14ac:dyDescent="0.35">
      <c r="A608" s="6">
        <v>14346084</v>
      </c>
      <c r="B608" s="5" t="s">
        <v>663</v>
      </c>
      <c r="C608" s="5" t="s">
        <v>135</v>
      </c>
      <c r="D608" s="5" t="s">
        <v>377</v>
      </c>
      <c r="E608" s="5" t="s">
        <v>133</v>
      </c>
      <c r="F608" s="5" t="s">
        <v>1139</v>
      </c>
      <c r="G608" s="5">
        <v>1590</v>
      </c>
      <c r="H608" s="5">
        <v>3699</v>
      </c>
      <c r="I608" s="5" t="s">
        <v>213</v>
      </c>
      <c r="J608" s="5" t="s">
        <v>391</v>
      </c>
      <c r="K608" s="5">
        <v>4.3</v>
      </c>
      <c r="L608" s="5">
        <v>886</v>
      </c>
      <c r="M608" s="5">
        <v>0.56999999999999995</v>
      </c>
      <c r="N608" s="5">
        <v>1493.337491012077</v>
      </c>
      <c r="O608" s="5">
        <v>1590</v>
      </c>
      <c r="P608" s="5" t="s">
        <v>391</v>
      </c>
      <c r="Q608" s="5" t="s">
        <v>55</v>
      </c>
      <c r="R608" s="5" t="s">
        <v>129</v>
      </c>
      <c r="S608" s="7" t="s">
        <v>1140</v>
      </c>
    </row>
    <row r="609" spans="1:19" x14ac:dyDescent="0.35">
      <c r="A609" s="6">
        <v>10968928</v>
      </c>
      <c r="B609" s="5" t="s">
        <v>203</v>
      </c>
      <c r="C609" s="5" t="s">
        <v>135</v>
      </c>
      <c r="D609" s="5" t="s">
        <v>174</v>
      </c>
      <c r="E609" s="5" t="s">
        <v>133</v>
      </c>
      <c r="F609" s="5" t="s">
        <v>1137</v>
      </c>
      <c r="G609" s="5">
        <v>1297</v>
      </c>
      <c r="H609" s="5">
        <v>5899</v>
      </c>
      <c r="I609" s="5" t="s">
        <v>166</v>
      </c>
      <c r="J609" s="5" t="s">
        <v>171</v>
      </c>
      <c r="K609" s="5">
        <v>4.2</v>
      </c>
      <c r="L609" s="5">
        <v>886</v>
      </c>
      <c r="M609" s="5">
        <v>0.78</v>
      </c>
      <c r="N609" s="5">
        <v>1493.337491012077</v>
      </c>
      <c r="O609" s="5">
        <v>1297</v>
      </c>
      <c r="P609" s="5" t="s">
        <v>171</v>
      </c>
      <c r="Q609" s="5" t="s">
        <v>55</v>
      </c>
      <c r="R609" s="5" t="s">
        <v>129</v>
      </c>
      <c r="S609" s="7" t="s">
        <v>1138</v>
      </c>
    </row>
    <row r="610" spans="1:19" x14ac:dyDescent="0.35">
      <c r="A610" s="6">
        <v>9371099</v>
      </c>
      <c r="B610" s="5" t="s">
        <v>180</v>
      </c>
      <c r="C610" s="5" t="s">
        <v>235</v>
      </c>
      <c r="D610" s="5" t="s">
        <v>168</v>
      </c>
      <c r="E610" s="5" t="s">
        <v>133</v>
      </c>
      <c r="F610" s="5" t="s">
        <v>1135</v>
      </c>
      <c r="G610" s="5">
        <v>374</v>
      </c>
      <c r="H610" s="5">
        <v>1499</v>
      </c>
      <c r="I610" s="5" t="s">
        <v>310</v>
      </c>
      <c r="J610" s="5" t="s">
        <v>177</v>
      </c>
      <c r="K610" s="5">
        <v>4.2</v>
      </c>
      <c r="L610" s="5">
        <v>886</v>
      </c>
      <c r="M610" s="5">
        <v>0.75</v>
      </c>
      <c r="N610" s="5">
        <v>923.69459774582197</v>
      </c>
      <c r="O610" s="5">
        <v>374</v>
      </c>
      <c r="P610" s="5" t="s">
        <v>177</v>
      </c>
      <c r="Q610" s="5" t="s">
        <v>55</v>
      </c>
      <c r="R610" s="5" t="s">
        <v>129</v>
      </c>
      <c r="S610" s="7" t="s">
        <v>1136</v>
      </c>
    </row>
    <row r="611" spans="1:19" x14ac:dyDescent="0.35">
      <c r="A611" s="6">
        <v>10526790</v>
      </c>
      <c r="B611" s="5" t="s">
        <v>200</v>
      </c>
      <c r="C611" s="5" t="s">
        <v>163</v>
      </c>
      <c r="D611" s="5" t="s">
        <v>228</v>
      </c>
      <c r="E611" s="5" t="s">
        <v>133</v>
      </c>
      <c r="F611" s="5" t="s">
        <v>1133</v>
      </c>
      <c r="G611" s="5"/>
      <c r="H611" s="5">
        <v>1599</v>
      </c>
      <c r="I611" s="5"/>
      <c r="J611" s="5" t="s">
        <v>192</v>
      </c>
      <c r="K611" s="5">
        <v>4.2</v>
      </c>
      <c r="L611" s="5">
        <v>886</v>
      </c>
      <c r="M611" s="5"/>
      <c r="N611" s="5">
        <v>1790.0851063829789</v>
      </c>
      <c r="O611" s="5">
        <v>1790.0851063829789</v>
      </c>
      <c r="P611" s="5" t="s">
        <v>192</v>
      </c>
      <c r="Q611" s="5" t="s">
        <v>57</v>
      </c>
      <c r="R611" s="5" t="s">
        <v>129</v>
      </c>
      <c r="S611" s="7" t="s">
        <v>1134</v>
      </c>
    </row>
    <row r="612" spans="1:19" x14ac:dyDescent="0.35">
      <c r="A612" s="6">
        <v>8962319</v>
      </c>
      <c r="B612" s="5" t="s">
        <v>250</v>
      </c>
      <c r="C612" s="5" t="s">
        <v>189</v>
      </c>
      <c r="D612" s="5" t="s">
        <v>162</v>
      </c>
      <c r="E612" s="5" t="s">
        <v>140</v>
      </c>
      <c r="F612" s="5" t="s">
        <v>1131</v>
      </c>
      <c r="G612" s="5">
        <v>599</v>
      </c>
      <c r="H612" s="5">
        <v>1499</v>
      </c>
      <c r="I612" s="5" t="s">
        <v>223</v>
      </c>
      <c r="J612" s="5" t="s">
        <v>222</v>
      </c>
      <c r="K612" s="5">
        <v>3.8</v>
      </c>
      <c r="L612" s="5">
        <v>885</v>
      </c>
      <c r="M612" s="5">
        <v>0.6</v>
      </c>
      <c r="N612" s="5">
        <v>1351.2078667815099</v>
      </c>
      <c r="O612" s="5">
        <v>599</v>
      </c>
      <c r="P612" s="5" t="s">
        <v>222</v>
      </c>
      <c r="Q612" s="5" t="s">
        <v>55</v>
      </c>
      <c r="R612" s="5" t="s">
        <v>129</v>
      </c>
      <c r="S612" s="7" t="s">
        <v>1132</v>
      </c>
    </row>
    <row r="613" spans="1:19" x14ac:dyDescent="0.35">
      <c r="A613" s="6">
        <v>2475652</v>
      </c>
      <c r="B613" s="5" t="s">
        <v>250</v>
      </c>
      <c r="C613" s="5" t="s">
        <v>142</v>
      </c>
      <c r="D613" s="5" t="s">
        <v>77</v>
      </c>
      <c r="E613" s="5" t="s">
        <v>140</v>
      </c>
      <c r="F613" s="5" t="s">
        <v>1129</v>
      </c>
      <c r="G613" s="5">
        <v>499</v>
      </c>
      <c r="H613" s="5">
        <v>999</v>
      </c>
      <c r="I613" s="5" t="s">
        <v>209</v>
      </c>
      <c r="J613" s="5" t="s">
        <v>458</v>
      </c>
      <c r="K613" s="5">
        <v>4</v>
      </c>
      <c r="L613" s="5">
        <v>885</v>
      </c>
      <c r="M613" s="5">
        <v>0.5</v>
      </c>
      <c r="N613" s="5">
        <v>1138.6340612208289</v>
      </c>
      <c r="O613" s="5">
        <v>499</v>
      </c>
      <c r="P613" s="5" t="s">
        <v>458</v>
      </c>
      <c r="Q613" s="5" t="s">
        <v>57</v>
      </c>
      <c r="R613" s="5" t="s">
        <v>129</v>
      </c>
      <c r="S613" s="7" t="s">
        <v>1130</v>
      </c>
    </row>
    <row r="614" spans="1:19" x14ac:dyDescent="0.35">
      <c r="A614" s="6">
        <v>2976313</v>
      </c>
      <c r="B614" s="5" t="s">
        <v>169</v>
      </c>
      <c r="C614" s="5" t="s">
        <v>135</v>
      </c>
      <c r="D614" s="5" t="s">
        <v>168</v>
      </c>
      <c r="E614" s="5" t="s">
        <v>133</v>
      </c>
      <c r="F614" s="5" t="s">
        <v>1127</v>
      </c>
      <c r="G614" s="5">
        <v>482</v>
      </c>
      <c r="H614" s="5">
        <v>1149</v>
      </c>
      <c r="I614" s="5" t="s">
        <v>319</v>
      </c>
      <c r="J614" s="5" t="s">
        <v>150</v>
      </c>
      <c r="K614" s="5">
        <v>3.4</v>
      </c>
      <c r="L614" s="5">
        <v>885</v>
      </c>
      <c r="M614" s="5">
        <v>0.57999999999999996</v>
      </c>
      <c r="N614" s="5">
        <v>1493.337491012077</v>
      </c>
      <c r="O614" s="5">
        <v>482</v>
      </c>
      <c r="P614" s="5" t="s">
        <v>150</v>
      </c>
      <c r="Q614" s="5" t="s">
        <v>55</v>
      </c>
      <c r="R614" s="5" t="s">
        <v>129</v>
      </c>
      <c r="S614" s="7" t="s">
        <v>1128</v>
      </c>
    </row>
    <row r="615" spans="1:19" x14ac:dyDescent="0.35">
      <c r="A615" s="6">
        <v>11202304</v>
      </c>
      <c r="B615" s="5" t="s">
        <v>460</v>
      </c>
      <c r="C615" s="5" t="s">
        <v>135</v>
      </c>
      <c r="D615" s="5" t="s">
        <v>377</v>
      </c>
      <c r="E615" s="5" t="s">
        <v>133</v>
      </c>
      <c r="F615" s="5" t="s">
        <v>1125</v>
      </c>
      <c r="G615" s="5">
        <v>1149</v>
      </c>
      <c r="H615" s="5">
        <v>2299</v>
      </c>
      <c r="I615" s="5" t="s">
        <v>209</v>
      </c>
      <c r="J615" s="5" t="s">
        <v>196</v>
      </c>
      <c r="K615" s="5">
        <v>4.4000000000000004</v>
      </c>
      <c r="L615" s="5">
        <v>885</v>
      </c>
      <c r="M615" s="5">
        <v>0.5</v>
      </c>
      <c r="N615" s="5">
        <v>1493.337491012077</v>
      </c>
      <c r="O615" s="5">
        <v>1149</v>
      </c>
      <c r="P615" s="5" t="s">
        <v>196</v>
      </c>
      <c r="Q615" s="5" t="s">
        <v>57</v>
      </c>
      <c r="R615" s="5" t="s">
        <v>129</v>
      </c>
      <c r="S615" s="7" t="s">
        <v>1126</v>
      </c>
    </row>
    <row r="616" spans="1:19" x14ac:dyDescent="0.35">
      <c r="A616" s="6">
        <v>13905664</v>
      </c>
      <c r="B616" s="5" t="s">
        <v>460</v>
      </c>
      <c r="C616" s="5" t="s">
        <v>135</v>
      </c>
      <c r="D616" s="5" t="s">
        <v>168</v>
      </c>
      <c r="E616" s="5" t="s">
        <v>133</v>
      </c>
      <c r="F616" s="5" t="s">
        <v>1123</v>
      </c>
      <c r="G616" s="5">
        <v>449</v>
      </c>
      <c r="H616" s="5">
        <v>999</v>
      </c>
      <c r="I616" s="5" t="s">
        <v>178</v>
      </c>
      <c r="J616" s="5" t="s">
        <v>196</v>
      </c>
      <c r="K616" s="5">
        <v>4</v>
      </c>
      <c r="L616" s="5">
        <v>885</v>
      </c>
      <c r="M616" s="5">
        <v>0.55000000000000004</v>
      </c>
      <c r="N616" s="5">
        <v>1493.337491012077</v>
      </c>
      <c r="O616" s="5">
        <v>449</v>
      </c>
      <c r="P616" s="5" t="s">
        <v>196</v>
      </c>
      <c r="Q616" s="5" t="s">
        <v>55</v>
      </c>
      <c r="R616" s="5" t="s">
        <v>129</v>
      </c>
      <c r="S616" s="7" t="s">
        <v>1124</v>
      </c>
    </row>
    <row r="617" spans="1:19" x14ac:dyDescent="0.35">
      <c r="A617" s="6">
        <v>7432898</v>
      </c>
      <c r="B617" s="5" t="s">
        <v>329</v>
      </c>
      <c r="C617" s="5" t="s">
        <v>273</v>
      </c>
      <c r="D617" s="5" t="s">
        <v>272</v>
      </c>
      <c r="E617" s="5" t="s">
        <v>133</v>
      </c>
      <c r="F617" s="5" t="s">
        <v>1121</v>
      </c>
      <c r="G617" s="5">
        <v>497</v>
      </c>
      <c r="H617" s="5">
        <v>995</v>
      </c>
      <c r="I617" s="5" t="s">
        <v>209</v>
      </c>
      <c r="J617" s="5" t="s">
        <v>1120</v>
      </c>
      <c r="K617" s="5">
        <v>4.3</v>
      </c>
      <c r="L617" s="5">
        <v>885</v>
      </c>
      <c r="M617" s="5">
        <v>0.5</v>
      </c>
      <c r="N617" s="5">
        <v>811.90284167198604</v>
      </c>
      <c r="O617" s="5">
        <v>497</v>
      </c>
      <c r="P617" s="5" t="s">
        <v>1120</v>
      </c>
      <c r="Q617" s="5" t="s">
        <v>57</v>
      </c>
      <c r="R617" s="5" t="s">
        <v>129</v>
      </c>
      <c r="S617" s="7" t="s">
        <v>1122</v>
      </c>
    </row>
    <row r="618" spans="1:19" x14ac:dyDescent="0.35">
      <c r="A618" s="6">
        <v>13205322</v>
      </c>
      <c r="B618" s="5" t="s">
        <v>365</v>
      </c>
      <c r="C618" s="5" t="s">
        <v>163</v>
      </c>
      <c r="D618" s="5" t="s">
        <v>228</v>
      </c>
      <c r="E618" s="5" t="s">
        <v>133</v>
      </c>
      <c r="F618" s="5" t="s">
        <v>1118</v>
      </c>
      <c r="G618" s="5"/>
      <c r="H618" s="5">
        <v>2499</v>
      </c>
      <c r="I618" s="5" t="s">
        <v>218</v>
      </c>
      <c r="J618" s="5" t="s">
        <v>192</v>
      </c>
      <c r="K618" s="5">
        <v>4.5</v>
      </c>
      <c r="L618" s="5">
        <v>885</v>
      </c>
      <c r="M618" s="5">
        <v>0.3</v>
      </c>
      <c r="N618" s="5">
        <v>1790.0851063829789</v>
      </c>
      <c r="O618" s="5"/>
      <c r="P618" s="5" t="s">
        <v>192</v>
      </c>
      <c r="Q618" s="5" t="s">
        <v>57</v>
      </c>
      <c r="R618" s="5" t="s">
        <v>129</v>
      </c>
      <c r="S618" s="7" t="s">
        <v>1119</v>
      </c>
    </row>
    <row r="619" spans="1:19" x14ac:dyDescent="0.35">
      <c r="A619" s="6">
        <v>14502098</v>
      </c>
      <c r="B619" s="5" t="s">
        <v>970</v>
      </c>
      <c r="C619" s="5" t="s">
        <v>163</v>
      </c>
      <c r="D619" s="5" t="s">
        <v>228</v>
      </c>
      <c r="E619" s="5" t="s">
        <v>133</v>
      </c>
      <c r="F619" s="5" t="s">
        <v>1116</v>
      </c>
      <c r="G619" s="5"/>
      <c r="H619" s="5">
        <v>3499</v>
      </c>
      <c r="I619" s="5" t="s">
        <v>223</v>
      </c>
      <c r="J619" s="5" t="s">
        <v>196</v>
      </c>
      <c r="K619" s="5">
        <v>4.3</v>
      </c>
      <c r="L619" s="5">
        <v>885</v>
      </c>
      <c r="M619" s="5">
        <v>0.6</v>
      </c>
      <c r="N619" s="5">
        <v>1790.0851063829789</v>
      </c>
      <c r="O619" s="5"/>
      <c r="P619" s="5" t="s">
        <v>196</v>
      </c>
      <c r="Q619" s="5" t="s">
        <v>55</v>
      </c>
      <c r="R619" s="5" t="s">
        <v>129</v>
      </c>
      <c r="S619" s="7" t="s">
        <v>1117</v>
      </c>
    </row>
    <row r="620" spans="1:19" x14ac:dyDescent="0.35">
      <c r="A620" s="6">
        <v>11970554</v>
      </c>
      <c r="B620" s="5" t="s">
        <v>164</v>
      </c>
      <c r="C620" s="5" t="s">
        <v>163</v>
      </c>
      <c r="D620" s="5" t="s">
        <v>418</v>
      </c>
      <c r="E620" s="5" t="s">
        <v>133</v>
      </c>
      <c r="F620" s="5" t="s">
        <v>1114</v>
      </c>
      <c r="G620" s="5"/>
      <c r="H620" s="5">
        <v>899</v>
      </c>
      <c r="I620" s="5" t="s">
        <v>371</v>
      </c>
      <c r="J620" s="5" t="s">
        <v>159</v>
      </c>
      <c r="K620" s="5">
        <v>4.4000000000000004</v>
      </c>
      <c r="L620" s="5">
        <v>885</v>
      </c>
      <c r="M620" s="5">
        <v>0.48</v>
      </c>
      <c r="N620" s="5">
        <v>1790.0851063829789</v>
      </c>
      <c r="O620" s="5"/>
      <c r="P620" s="5" t="s">
        <v>159</v>
      </c>
      <c r="Q620" s="5" t="s">
        <v>57</v>
      </c>
      <c r="R620" s="5" t="s">
        <v>129</v>
      </c>
      <c r="S620" s="7" t="s">
        <v>1115</v>
      </c>
    </row>
    <row r="621" spans="1:19" x14ac:dyDescent="0.35">
      <c r="A621" s="6">
        <v>9716731</v>
      </c>
      <c r="B621" s="5" t="s">
        <v>250</v>
      </c>
      <c r="C621" s="5" t="s">
        <v>189</v>
      </c>
      <c r="D621" s="5" t="s">
        <v>162</v>
      </c>
      <c r="E621" s="5" t="s">
        <v>140</v>
      </c>
      <c r="F621" s="5" t="s">
        <v>1112</v>
      </c>
      <c r="G621" s="5">
        <v>1044</v>
      </c>
      <c r="H621" s="5">
        <v>1899</v>
      </c>
      <c r="I621" s="5" t="s">
        <v>36</v>
      </c>
      <c r="J621" s="5" t="s">
        <v>408</v>
      </c>
      <c r="K621" s="5">
        <v>4.0999999999999996</v>
      </c>
      <c r="L621" s="5">
        <v>884</v>
      </c>
      <c r="M621" s="5">
        <v>0.45</v>
      </c>
      <c r="N621" s="5">
        <v>1351.2078667815099</v>
      </c>
      <c r="O621" s="5">
        <v>1044</v>
      </c>
      <c r="P621" s="5" t="s">
        <v>408</v>
      </c>
      <c r="Q621" s="5" t="s">
        <v>57</v>
      </c>
      <c r="R621" s="5" t="s">
        <v>129</v>
      </c>
      <c r="S621" s="7" t="s">
        <v>1113</v>
      </c>
    </row>
    <row r="622" spans="1:19" x14ac:dyDescent="0.35">
      <c r="A622" s="6">
        <v>8217979</v>
      </c>
      <c r="B622" s="5" t="s">
        <v>250</v>
      </c>
      <c r="C622" s="5" t="s">
        <v>142</v>
      </c>
      <c r="D622" s="5" t="s">
        <v>141</v>
      </c>
      <c r="E622" s="5" t="s">
        <v>140</v>
      </c>
      <c r="F622" s="5" t="s">
        <v>1110</v>
      </c>
      <c r="G622" s="5"/>
      <c r="H622" s="5">
        <v>1099</v>
      </c>
      <c r="I622" s="5"/>
      <c r="J622" s="5" t="s">
        <v>276</v>
      </c>
      <c r="K622" s="5">
        <v>4.4000000000000004</v>
      </c>
      <c r="L622" s="5">
        <v>884</v>
      </c>
      <c r="M622" s="5"/>
      <c r="N622" s="5">
        <v>1138.6340612208289</v>
      </c>
      <c r="O622" s="5">
        <v>1138.6340612208289</v>
      </c>
      <c r="P622" s="5" t="s">
        <v>276</v>
      </c>
      <c r="Q622" s="5" t="s">
        <v>57</v>
      </c>
      <c r="R622" s="5" t="s">
        <v>129</v>
      </c>
      <c r="S622" s="7" t="s">
        <v>1111</v>
      </c>
    </row>
    <row r="623" spans="1:19" x14ac:dyDescent="0.35">
      <c r="A623" s="6">
        <v>2271714</v>
      </c>
      <c r="B623" s="5" t="s">
        <v>225</v>
      </c>
      <c r="C623" s="5" t="s">
        <v>142</v>
      </c>
      <c r="D623" s="5" t="s">
        <v>141</v>
      </c>
      <c r="E623" s="5" t="s">
        <v>140</v>
      </c>
      <c r="F623" s="5" t="s">
        <v>1108</v>
      </c>
      <c r="G623" s="5">
        <v>799</v>
      </c>
      <c r="H623" s="5">
        <v>1999</v>
      </c>
      <c r="I623" s="5" t="s">
        <v>223</v>
      </c>
      <c r="J623" s="5" t="s">
        <v>348</v>
      </c>
      <c r="K623" s="5">
        <v>4.0999999999999996</v>
      </c>
      <c r="L623" s="5">
        <v>884</v>
      </c>
      <c r="M623" s="5">
        <v>0.6</v>
      </c>
      <c r="N623" s="5">
        <v>1138.6340612208289</v>
      </c>
      <c r="O623" s="5">
        <v>799</v>
      </c>
      <c r="P623" s="5" t="s">
        <v>348</v>
      </c>
      <c r="Q623" s="5" t="s">
        <v>55</v>
      </c>
      <c r="R623" s="5" t="s">
        <v>129</v>
      </c>
      <c r="S623" s="7" t="s">
        <v>1109</v>
      </c>
    </row>
    <row r="624" spans="1:19" x14ac:dyDescent="0.35">
      <c r="A624" s="6">
        <v>11752134</v>
      </c>
      <c r="B624" s="5" t="s">
        <v>339</v>
      </c>
      <c r="C624" s="5" t="s">
        <v>142</v>
      </c>
      <c r="D624" s="5" t="s">
        <v>77</v>
      </c>
      <c r="E624" s="5" t="s">
        <v>140</v>
      </c>
      <c r="F624" s="5" t="s">
        <v>1106</v>
      </c>
      <c r="G624" s="5">
        <v>299</v>
      </c>
      <c r="H624" s="5">
        <v>599</v>
      </c>
      <c r="I624" s="5" t="s">
        <v>209</v>
      </c>
      <c r="J624" s="5" t="s">
        <v>196</v>
      </c>
      <c r="K624" s="5">
        <v>4.2</v>
      </c>
      <c r="L624" s="5">
        <v>884</v>
      </c>
      <c r="M624" s="5">
        <v>0.5</v>
      </c>
      <c r="N624" s="5">
        <v>1138.6340612208289</v>
      </c>
      <c r="O624" s="5">
        <v>299</v>
      </c>
      <c r="P624" s="5" t="s">
        <v>196</v>
      </c>
      <c r="Q624" s="5" t="s">
        <v>57</v>
      </c>
      <c r="R624" s="5" t="s">
        <v>129</v>
      </c>
      <c r="S624" s="7" t="s">
        <v>1107</v>
      </c>
    </row>
    <row r="625" spans="1:19" x14ac:dyDescent="0.35">
      <c r="A625" s="6">
        <v>8773391</v>
      </c>
      <c r="B625" s="5" t="s">
        <v>169</v>
      </c>
      <c r="C625" s="5" t="s">
        <v>135</v>
      </c>
      <c r="D625" s="5" t="s">
        <v>377</v>
      </c>
      <c r="E625" s="5" t="s">
        <v>133</v>
      </c>
      <c r="F625" s="5" t="s">
        <v>1104</v>
      </c>
      <c r="G625" s="5">
        <v>1106</v>
      </c>
      <c r="H625" s="5">
        <v>2699</v>
      </c>
      <c r="I625" s="5" t="s">
        <v>160</v>
      </c>
      <c r="J625" s="5" t="s">
        <v>150</v>
      </c>
      <c r="K625" s="5">
        <v>4.3</v>
      </c>
      <c r="L625" s="5">
        <v>884</v>
      </c>
      <c r="M625" s="5">
        <v>0.59</v>
      </c>
      <c r="N625" s="5">
        <v>1493.337491012077</v>
      </c>
      <c r="O625" s="5">
        <v>1106</v>
      </c>
      <c r="P625" s="5" t="s">
        <v>150</v>
      </c>
      <c r="Q625" s="5" t="s">
        <v>55</v>
      </c>
      <c r="R625" s="5" t="s">
        <v>129</v>
      </c>
      <c r="S625" s="7" t="s">
        <v>1105</v>
      </c>
    </row>
    <row r="626" spans="1:19" x14ac:dyDescent="0.35">
      <c r="A626" s="6">
        <v>11536894</v>
      </c>
      <c r="B626" s="5" t="s">
        <v>180</v>
      </c>
      <c r="C626" s="5" t="s">
        <v>135</v>
      </c>
      <c r="D626" s="5" t="s">
        <v>168</v>
      </c>
      <c r="E626" s="5" t="s">
        <v>133</v>
      </c>
      <c r="F626" s="5" t="s">
        <v>1102</v>
      </c>
      <c r="G626" s="5">
        <v>584</v>
      </c>
      <c r="H626" s="5">
        <v>899</v>
      </c>
      <c r="I626" s="5" t="s">
        <v>205</v>
      </c>
      <c r="J626" s="5" t="s">
        <v>177</v>
      </c>
      <c r="K626" s="5">
        <v>4.0999999999999996</v>
      </c>
      <c r="L626" s="5">
        <v>884</v>
      </c>
      <c r="M626" s="5">
        <v>0.35</v>
      </c>
      <c r="N626" s="5">
        <v>1493.337491012077</v>
      </c>
      <c r="O626" s="5">
        <v>584</v>
      </c>
      <c r="P626" s="5" t="s">
        <v>177</v>
      </c>
      <c r="Q626" s="5" t="s">
        <v>57</v>
      </c>
      <c r="R626" s="5" t="s">
        <v>129</v>
      </c>
      <c r="S626" s="7" t="s">
        <v>1103</v>
      </c>
    </row>
    <row r="627" spans="1:19" x14ac:dyDescent="0.35">
      <c r="A627" s="6">
        <v>7078933</v>
      </c>
      <c r="B627" s="5" t="s">
        <v>986</v>
      </c>
      <c r="C627" s="5" t="s">
        <v>163</v>
      </c>
      <c r="D627" s="5" t="s">
        <v>134</v>
      </c>
      <c r="E627" s="5" t="s">
        <v>133</v>
      </c>
      <c r="F627" s="5" t="s">
        <v>1100</v>
      </c>
      <c r="G627" s="5"/>
      <c r="H627" s="5">
        <v>1099</v>
      </c>
      <c r="I627" s="5" t="s">
        <v>178</v>
      </c>
      <c r="J627" s="5" t="s">
        <v>1099</v>
      </c>
      <c r="K627" s="5">
        <v>4.2</v>
      </c>
      <c r="L627" s="5">
        <v>884</v>
      </c>
      <c r="M627" s="5">
        <v>0.55000000000000004</v>
      </c>
      <c r="N627" s="5">
        <v>1790.0851063829789</v>
      </c>
      <c r="O627" s="5"/>
      <c r="P627" s="5" t="s">
        <v>1099</v>
      </c>
      <c r="Q627" s="5" t="s">
        <v>55</v>
      </c>
      <c r="R627" s="5" t="s">
        <v>129</v>
      </c>
      <c r="S627" s="7" t="s">
        <v>1101</v>
      </c>
    </row>
    <row r="628" spans="1:19" x14ac:dyDescent="0.35">
      <c r="A628" s="6">
        <v>13873912</v>
      </c>
      <c r="B628" s="5" t="s">
        <v>472</v>
      </c>
      <c r="C628" s="5" t="s">
        <v>163</v>
      </c>
      <c r="D628" s="5" t="s">
        <v>228</v>
      </c>
      <c r="E628" s="5" t="s">
        <v>133</v>
      </c>
      <c r="F628" s="5" t="s">
        <v>1097</v>
      </c>
      <c r="G628" s="5"/>
      <c r="H628" s="5">
        <v>1699</v>
      </c>
      <c r="I628" s="5" t="s">
        <v>172</v>
      </c>
      <c r="J628" s="5" t="s">
        <v>192</v>
      </c>
      <c r="K628" s="5">
        <v>4.4000000000000004</v>
      </c>
      <c r="L628" s="5">
        <v>884</v>
      </c>
      <c r="M628" s="5">
        <v>0.56000000000000005</v>
      </c>
      <c r="N628" s="5">
        <v>1790.0851063829789</v>
      </c>
      <c r="O628" s="5"/>
      <c r="P628" s="5" t="s">
        <v>192</v>
      </c>
      <c r="Q628" s="5" t="s">
        <v>55</v>
      </c>
      <c r="R628" s="5" t="s">
        <v>129</v>
      </c>
      <c r="S628" s="7" t="s">
        <v>1098</v>
      </c>
    </row>
    <row r="629" spans="1:19" x14ac:dyDescent="0.35">
      <c r="A629" s="6">
        <v>9845435</v>
      </c>
      <c r="B629" s="5" t="s">
        <v>164</v>
      </c>
      <c r="C629" s="5" t="s">
        <v>163</v>
      </c>
      <c r="D629" s="5" t="s">
        <v>162</v>
      </c>
      <c r="E629" s="5" t="s">
        <v>133</v>
      </c>
      <c r="F629" s="5" t="s">
        <v>1095</v>
      </c>
      <c r="G629" s="5"/>
      <c r="H629" s="5">
        <v>1899</v>
      </c>
      <c r="I629" s="5" t="s">
        <v>645</v>
      </c>
      <c r="J629" s="5" t="s">
        <v>505</v>
      </c>
      <c r="K629" s="5">
        <v>4.0999999999999996</v>
      </c>
      <c r="L629" s="5">
        <v>884</v>
      </c>
      <c r="M629" s="5">
        <v>0.52</v>
      </c>
      <c r="N629" s="5">
        <v>1790.0851063829789</v>
      </c>
      <c r="O629" s="5"/>
      <c r="P629" s="5" t="s">
        <v>505</v>
      </c>
      <c r="Q629" s="5" t="s">
        <v>55</v>
      </c>
      <c r="R629" s="5" t="s">
        <v>129</v>
      </c>
      <c r="S629" s="7" t="s">
        <v>1096</v>
      </c>
    </row>
    <row r="630" spans="1:19" x14ac:dyDescent="0.35">
      <c r="A630" s="6">
        <v>8375977</v>
      </c>
      <c r="B630" s="5" t="s">
        <v>216</v>
      </c>
      <c r="C630" s="5" t="s">
        <v>189</v>
      </c>
      <c r="D630" s="5" t="s">
        <v>162</v>
      </c>
      <c r="E630" s="5" t="s">
        <v>140</v>
      </c>
      <c r="F630" s="5" t="s">
        <v>1093</v>
      </c>
      <c r="G630" s="5">
        <v>816</v>
      </c>
      <c r="H630" s="5">
        <v>1899</v>
      </c>
      <c r="I630" s="5" t="s">
        <v>213</v>
      </c>
      <c r="J630" s="5" t="s">
        <v>185</v>
      </c>
      <c r="K630" s="5">
        <v>3.7</v>
      </c>
      <c r="L630" s="5">
        <v>883</v>
      </c>
      <c r="M630" s="5">
        <v>0.56999999999999995</v>
      </c>
      <c r="N630" s="5">
        <v>1351.2078667815099</v>
      </c>
      <c r="O630" s="5">
        <v>816</v>
      </c>
      <c r="P630" s="5" t="s">
        <v>185</v>
      </c>
      <c r="Q630" s="5" t="s">
        <v>55</v>
      </c>
      <c r="R630" s="5" t="s">
        <v>129</v>
      </c>
      <c r="S630" s="7" t="s">
        <v>1094</v>
      </c>
    </row>
    <row r="631" spans="1:19" x14ac:dyDescent="0.35">
      <c r="A631" s="6">
        <v>6518651</v>
      </c>
      <c r="B631" s="5" t="s">
        <v>1091</v>
      </c>
      <c r="C631" s="5" t="s">
        <v>135</v>
      </c>
      <c r="D631" s="5" t="s">
        <v>377</v>
      </c>
      <c r="E631" s="5" t="s">
        <v>140</v>
      </c>
      <c r="F631" s="5" t="s">
        <v>1090</v>
      </c>
      <c r="G631" s="5">
        <v>1436</v>
      </c>
      <c r="H631" s="5">
        <v>3590</v>
      </c>
      <c r="I631" s="5" t="s">
        <v>223</v>
      </c>
      <c r="J631" s="5" t="s">
        <v>391</v>
      </c>
      <c r="K631" s="5">
        <v>3.9</v>
      </c>
      <c r="L631" s="5">
        <v>883</v>
      </c>
      <c r="M631" s="5">
        <v>0.6</v>
      </c>
      <c r="N631" s="5">
        <v>1493.337491012077</v>
      </c>
      <c r="O631" s="5">
        <v>1436</v>
      </c>
      <c r="P631" s="5" t="s">
        <v>391</v>
      </c>
      <c r="Q631" s="5" t="s">
        <v>55</v>
      </c>
      <c r="R631" s="5" t="s">
        <v>129</v>
      </c>
      <c r="S631" s="7" t="s">
        <v>1092</v>
      </c>
    </row>
    <row r="632" spans="1:19" x14ac:dyDescent="0.35">
      <c r="A632" s="6">
        <v>12524816</v>
      </c>
      <c r="B632" s="5" t="s">
        <v>143</v>
      </c>
      <c r="C632" s="5" t="s">
        <v>235</v>
      </c>
      <c r="D632" s="5" t="s">
        <v>168</v>
      </c>
      <c r="E632" s="5" t="s">
        <v>133</v>
      </c>
      <c r="F632" s="5" t="s">
        <v>1088</v>
      </c>
      <c r="G632" s="5">
        <v>479</v>
      </c>
      <c r="H632" s="5">
        <v>1199</v>
      </c>
      <c r="I632" s="5" t="s">
        <v>223</v>
      </c>
      <c r="J632" s="5" t="s">
        <v>391</v>
      </c>
      <c r="K632" s="5">
        <v>4.0999999999999996</v>
      </c>
      <c r="L632" s="5">
        <v>883</v>
      </c>
      <c r="M632" s="5">
        <v>0.6</v>
      </c>
      <c r="N632" s="5">
        <v>923.69459774582197</v>
      </c>
      <c r="O632" s="5">
        <v>479</v>
      </c>
      <c r="P632" s="5" t="s">
        <v>391</v>
      </c>
      <c r="Q632" s="5" t="s">
        <v>55</v>
      </c>
      <c r="R632" s="5" t="s">
        <v>129</v>
      </c>
      <c r="S632" s="7" t="s">
        <v>1089</v>
      </c>
    </row>
    <row r="633" spans="1:19" x14ac:dyDescent="0.35">
      <c r="A633" s="6">
        <v>12332478</v>
      </c>
      <c r="B633" s="5" t="s">
        <v>225</v>
      </c>
      <c r="C633" s="5" t="s">
        <v>75</v>
      </c>
      <c r="D633" s="5" t="s">
        <v>199</v>
      </c>
      <c r="E633" s="5" t="s">
        <v>133</v>
      </c>
      <c r="F633" s="5" t="s">
        <v>1086</v>
      </c>
      <c r="G633" s="5">
        <v>509</v>
      </c>
      <c r="H633" s="5">
        <v>1699</v>
      </c>
      <c r="I633" s="5" t="s">
        <v>283</v>
      </c>
      <c r="J633" s="5" t="s">
        <v>192</v>
      </c>
      <c r="K633" s="5">
        <v>4.0999999999999996</v>
      </c>
      <c r="L633" s="5">
        <v>883</v>
      </c>
      <c r="M633" s="5">
        <v>0.7</v>
      </c>
      <c r="N633" s="5">
        <v>1097.3783736315199</v>
      </c>
      <c r="O633" s="5">
        <v>509</v>
      </c>
      <c r="P633" s="5" t="s">
        <v>192</v>
      </c>
      <c r="Q633" s="5" t="s">
        <v>55</v>
      </c>
      <c r="R633" s="5" t="s">
        <v>129</v>
      </c>
      <c r="S633" s="7" t="s">
        <v>1087</v>
      </c>
    </row>
    <row r="634" spans="1:19" x14ac:dyDescent="0.35">
      <c r="A634" s="6">
        <v>17381392</v>
      </c>
      <c r="B634" s="5" t="s">
        <v>250</v>
      </c>
      <c r="C634" s="5" t="s">
        <v>163</v>
      </c>
      <c r="D634" s="5" t="s">
        <v>77</v>
      </c>
      <c r="E634" s="5" t="s">
        <v>133</v>
      </c>
      <c r="F634" s="5" t="s">
        <v>791</v>
      </c>
      <c r="G634" s="5"/>
      <c r="H634" s="5">
        <v>1198</v>
      </c>
      <c r="I634" s="5" t="s">
        <v>209</v>
      </c>
      <c r="J634" s="5" t="s">
        <v>192</v>
      </c>
      <c r="K634" s="5">
        <v>4.3</v>
      </c>
      <c r="L634" s="5">
        <v>883</v>
      </c>
      <c r="M634" s="5">
        <v>0.5</v>
      </c>
      <c r="N634" s="5">
        <v>1790.0851063829789</v>
      </c>
      <c r="O634" s="5"/>
      <c r="P634" s="5" t="s">
        <v>192</v>
      </c>
      <c r="Q634" s="5" t="s">
        <v>57</v>
      </c>
      <c r="R634" s="5" t="s">
        <v>129</v>
      </c>
      <c r="S634" s="7" t="s">
        <v>1085</v>
      </c>
    </row>
    <row r="635" spans="1:19" x14ac:dyDescent="0.35">
      <c r="A635" s="6">
        <v>11991112</v>
      </c>
      <c r="B635" s="5" t="s">
        <v>250</v>
      </c>
      <c r="C635" s="5" t="s">
        <v>163</v>
      </c>
      <c r="D635" s="5" t="s">
        <v>215</v>
      </c>
      <c r="E635" s="5" t="s">
        <v>133</v>
      </c>
      <c r="F635" s="5" t="s">
        <v>1083</v>
      </c>
      <c r="G635" s="5"/>
      <c r="H635" s="5">
        <v>1199</v>
      </c>
      <c r="I635" s="5" t="s">
        <v>283</v>
      </c>
      <c r="J635" s="5" t="s">
        <v>196</v>
      </c>
      <c r="K635" s="5">
        <v>4.4000000000000004</v>
      </c>
      <c r="L635" s="5">
        <v>883</v>
      </c>
      <c r="M635" s="5">
        <v>0.7</v>
      </c>
      <c r="N635" s="5">
        <v>1790.0851063829789</v>
      </c>
      <c r="O635" s="5"/>
      <c r="P635" s="5" t="s">
        <v>196</v>
      </c>
      <c r="Q635" s="5" t="s">
        <v>55</v>
      </c>
      <c r="R635" s="5" t="s">
        <v>129</v>
      </c>
      <c r="S635" s="7" t="s">
        <v>1084</v>
      </c>
    </row>
    <row r="636" spans="1:19" x14ac:dyDescent="0.35">
      <c r="A636" s="6">
        <v>13194602</v>
      </c>
      <c r="B636" s="5" t="s">
        <v>164</v>
      </c>
      <c r="C636" s="5" t="s">
        <v>163</v>
      </c>
      <c r="D636" s="5" t="s">
        <v>228</v>
      </c>
      <c r="E636" s="5" t="s">
        <v>133</v>
      </c>
      <c r="F636" s="5" t="s">
        <v>1081</v>
      </c>
      <c r="G636" s="5"/>
      <c r="H636" s="5">
        <v>1349</v>
      </c>
      <c r="I636" s="5" t="s">
        <v>381</v>
      </c>
      <c r="J636" s="5" t="s">
        <v>212</v>
      </c>
      <c r="K636" s="5">
        <v>4.5</v>
      </c>
      <c r="L636" s="5">
        <v>883</v>
      </c>
      <c r="M636" s="5">
        <v>0.53</v>
      </c>
      <c r="N636" s="5">
        <v>1790.0851063829789</v>
      </c>
      <c r="O636" s="5"/>
      <c r="P636" s="5" t="s">
        <v>212</v>
      </c>
      <c r="Q636" s="5" t="s">
        <v>55</v>
      </c>
      <c r="R636" s="5" t="s">
        <v>129</v>
      </c>
      <c r="S636" s="7" t="s">
        <v>1082</v>
      </c>
    </row>
    <row r="637" spans="1:19" x14ac:dyDescent="0.35">
      <c r="A637" s="6">
        <v>10437832</v>
      </c>
      <c r="B637" s="5" t="s">
        <v>164</v>
      </c>
      <c r="C637" s="5" t="s">
        <v>163</v>
      </c>
      <c r="D637" s="5" t="s">
        <v>493</v>
      </c>
      <c r="E637" s="5" t="s">
        <v>133</v>
      </c>
      <c r="F637" s="5" t="s">
        <v>1079</v>
      </c>
      <c r="G637" s="5"/>
      <c r="H637" s="5">
        <v>2299</v>
      </c>
      <c r="I637" s="5" t="s">
        <v>213</v>
      </c>
      <c r="J637" s="5" t="s">
        <v>212</v>
      </c>
      <c r="K637" s="5">
        <v>4</v>
      </c>
      <c r="L637" s="5">
        <v>883</v>
      </c>
      <c r="M637" s="5">
        <v>0.56999999999999995</v>
      </c>
      <c r="N637" s="5">
        <v>1790.0851063829789</v>
      </c>
      <c r="O637" s="5"/>
      <c r="P637" s="5" t="s">
        <v>212</v>
      </c>
      <c r="Q637" s="5" t="s">
        <v>55</v>
      </c>
      <c r="R637" s="5" t="s">
        <v>129</v>
      </c>
      <c r="S637" s="7" t="s">
        <v>1080</v>
      </c>
    </row>
    <row r="638" spans="1:19" x14ac:dyDescent="0.35">
      <c r="A638" s="6">
        <v>8207829</v>
      </c>
      <c r="B638" s="5" t="s">
        <v>522</v>
      </c>
      <c r="C638" s="5" t="s">
        <v>163</v>
      </c>
      <c r="D638" s="5" t="s">
        <v>228</v>
      </c>
      <c r="E638" s="5" t="s">
        <v>133</v>
      </c>
      <c r="F638" s="5" t="s">
        <v>1077</v>
      </c>
      <c r="G638" s="5"/>
      <c r="H638" s="5">
        <v>2599</v>
      </c>
      <c r="I638" s="5" t="s">
        <v>223</v>
      </c>
      <c r="J638" s="5" t="s">
        <v>150</v>
      </c>
      <c r="K638" s="5">
        <v>4.0999999999999996</v>
      </c>
      <c r="L638" s="5">
        <v>883</v>
      </c>
      <c r="M638" s="5">
        <v>0.6</v>
      </c>
      <c r="N638" s="5">
        <v>1790.0851063829789</v>
      </c>
      <c r="O638" s="5"/>
      <c r="P638" s="5" t="s">
        <v>150</v>
      </c>
      <c r="Q638" s="5" t="s">
        <v>55</v>
      </c>
      <c r="R638" s="5" t="s">
        <v>129</v>
      </c>
      <c r="S638" s="7" t="s">
        <v>1078</v>
      </c>
    </row>
    <row r="639" spans="1:19" x14ac:dyDescent="0.35">
      <c r="A639" s="6">
        <v>8328571</v>
      </c>
      <c r="B639" s="5" t="s">
        <v>152</v>
      </c>
      <c r="C639" s="5" t="s">
        <v>163</v>
      </c>
      <c r="D639" s="5" t="s">
        <v>77</v>
      </c>
      <c r="E639" s="5" t="s">
        <v>133</v>
      </c>
      <c r="F639" s="5" t="s">
        <v>1075</v>
      </c>
      <c r="G639" s="5"/>
      <c r="H639" s="5">
        <v>699</v>
      </c>
      <c r="I639" s="5" t="s">
        <v>178</v>
      </c>
      <c r="J639" s="5" t="s">
        <v>196</v>
      </c>
      <c r="K639" s="5">
        <v>4.4000000000000004</v>
      </c>
      <c r="L639" s="5">
        <v>883</v>
      </c>
      <c r="M639" s="5">
        <v>0.55000000000000004</v>
      </c>
      <c r="N639" s="5">
        <v>1790.0851063829789</v>
      </c>
      <c r="O639" s="5"/>
      <c r="P639" s="5" t="s">
        <v>196</v>
      </c>
      <c r="Q639" s="5" t="s">
        <v>55</v>
      </c>
      <c r="R639" s="5" t="s">
        <v>129</v>
      </c>
      <c r="S639" s="7" t="s">
        <v>1076</v>
      </c>
    </row>
    <row r="640" spans="1:19" x14ac:dyDescent="0.35">
      <c r="A640" s="6">
        <v>11363752</v>
      </c>
      <c r="B640" s="5" t="s">
        <v>183</v>
      </c>
      <c r="C640" s="5" t="s">
        <v>142</v>
      </c>
      <c r="D640" s="5" t="s">
        <v>77</v>
      </c>
      <c r="E640" s="5" t="s">
        <v>140</v>
      </c>
      <c r="F640" s="5" t="s">
        <v>1073</v>
      </c>
      <c r="G640" s="5">
        <v>599</v>
      </c>
      <c r="H640" s="5">
        <v>1199</v>
      </c>
      <c r="I640" s="5" t="s">
        <v>209</v>
      </c>
      <c r="J640" s="5" t="s">
        <v>150</v>
      </c>
      <c r="K640" s="5">
        <v>4.3</v>
      </c>
      <c r="L640" s="5">
        <v>882</v>
      </c>
      <c r="M640" s="5">
        <v>0.5</v>
      </c>
      <c r="N640" s="5">
        <v>1138.6340612208289</v>
      </c>
      <c r="O640" s="5">
        <v>599</v>
      </c>
      <c r="P640" s="5" t="s">
        <v>150</v>
      </c>
      <c r="Q640" s="5" t="s">
        <v>57</v>
      </c>
      <c r="R640" s="5" t="s">
        <v>129</v>
      </c>
      <c r="S640" s="7" t="s">
        <v>1074</v>
      </c>
    </row>
    <row r="641" spans="1:19" x14ac:dyDescent="0.35">
      <c r="A641" s="6">
        <v>4318093</v>
      </c>
      <c r="B641" s="5" t="s">
        <v>143</v>
      </c>
      <c r="C641" s="5" t="s">
        <v>142</v>
      </c>
      <c r="D641" s="5" t="s">
        <v>77</v>
      </c>
      <c r="E641" s="5" t="s">
        <v>140</v>
      </c>
      <c r="F641" s="5" t="s">
        <v>1071</v>
      </c>
      <c r="G641" s="5">
        <v>454</v>
      </c>
      <c r="H641" s="5">
        <v>1299</v>
      </c>
      <c r="I641" s="5" t="s">
        <v>197</v>
      </c>
      <c r="J641" s="5" t="s">
        <v>150</v>
      </c>
      <c r="K641" s="5">
        <v>4.0999999999999996</v>
      </c>
      <c r="L641" s="5">
        <v>882</v>
      </c>
      <c r="M641" s="5">
        <v>0.65</v>
      </c>
      <c r="N641" s="5">
        <v>1138.6340612208289</v>
      </c>
      <c r="O641" s="5">
        <v>454</v>
      </c>
      <c r="P641" s="5" t="s">
        <v>150</v>
      </c>
      <c r="Q641" s="5" t="s">
        <v>55</v>
      </c>
      <c r="R641" s="5" t="s">
        <v>129</v>
      </c>
      <c r="S641" s="7" t="s">
        <v>1072</v>
      </c>
    </row>
    <row r="642" spans="1:19" x14ac:dyDescent="0.35">
      <c r="A642" s="6">
        <v>12135064</v>
      </c>
      <c r="B642" s="5" t="s">
        <v>460</v>
      </c>
      <c r="C642" s="5" t="s">
        <v>135</v>
      </c>
      <c r="D642" s="5" t="s">
        <v>168</v>
      </c>
      <c r="E642" s="5" t="s">
        <v>133</v>
      </c>
      <c r="F642" s="5" t="s">
        <v>1069</v>
      </c>
      <c r="G642" s="5">
        <v>879</v>
      </c>
      <c r="H642" s="5">
        <v>1599</v>
      </c>
      <c r="I642" s="5" t="s">
        <v>36</v>
      </c>
      <c r="J642" s="5" t="s">
        <v>196</v>
      </c>
      <c r="K642" s="5">
        <v>4.0999999999999996</v>
      </c>
      <c r="L642" s="5">
        <v>882</v>
      </c>
      <c r="M642" s="5">
        <v>0.45</v>
      </c>
      <c r="N642" s="5">
        <v>1493.337491012077</v>
      </c>
      <c r="O642" s="5">
        <v>879</v>
      </c>
      <c r="P642" s="5" t="s">
        <v>196</v>
      </c>
      <c r="Q642" s="5" t="s">
        <v>57</v>
      </c>
      <c r="R642" s="5" t="s">
        <v>129</v>
      </c>
      <c r="S642" s="7" t="s">
        <v>1070</v>
      </c>
    </row>
    <row r="643" spans="1:19" x14ac:dyDescent="0.35">
      <c r="A643" s="6">
        <v>11250784</v>
      </c>
      <c r="B643" s="5" t="s">
        <v>463</v>
      </c>
      <c r="C643" s="5" t="s">
        <v>135</v>
      </c>
      <c r="D643" s="5" t="s">
        <v>377</v>
      </c>
      <c r="E643" s="5" t="s">
        <v>133</v>
      </c>
      <c r="F643" s="5" t="s">
        <v>1067</v>
      </c>
      <c r="G643" s="5">
        <v>1799</v>
      </c>
      <c r="H643" s="5">
        <v>3999</v>
      </c>
      <c r="I643" s="5" t="s">
        <v>178</v>
      </c>
      <c r="J643" s="5" t="s">
        <v>150</v>
      </c>
      <c r="K643" s="5">
        <v>4.4000000000000004</v>
      </c>
      <c r="L643" s="5">
        <v>882</v>
      </c>
      <c r="M643" s="5">
        <v>0.55000000000000004</v>
      </c>
      <c r="N643" s="5">
        <v>1493.337491012077</v>
      </c>
      <c r="O643" s="5">
        <v>1799</v>
      </c>
      <c r="P643" s="5" t="s">
        <v>150</v>
      </c>
      <c r="Q643" s="5" t="s">
        <v>55</v>
      </c>
      <c r="R643" s="5" t="s">
        <v>129</v>
      </c>
      <c r="S643" s="7" t="s">
        <v>1068</v>
      </c>
    </row>
    <row r="644" spans="1:19" x14ac:dyDescent="0.35">
      <c r="A644" s="6">
        <v>4891826</v>
      </c>
      <c r="B644" s="5" t="s">
        <v>684</v>
      </c>
      <c r="C644" s="5" t="s">
        <v>135</v>
      </c>
      <c r="D644" s="5" t="s">
        <v>403</v>
      </c>
      <c r="E644" s="5" t="s">
        <v>133</v>
      </c>
      <c r="F644" s="5" t="s">
        <v>683</v>
      </c>
      <c r="G644" s="5"/>
      <c r="H644" s="5">
        <v>699</v>
      </c>
      <c r="I644" s="5"/>
      <c r="J644" s="5" t="s">
        <v>212</v>
      </c>
      <c r="K644" s="5">
        <v>4.4000000000000004</v>
      </c>
      <c r="L644" s="5">
        <v>882</v>
      </c>
      <c r="M644" s="5"/>
      <c r="N644" s="5">
        <v>1493.337491012077</v>
      </c>
      <c r="O644" s="5">
        <v>1493.337491012077</v>
      </c>
      <c r="P644" s="5" t="s">
        <v>212</v>
      </c>
      <c r="Q644" s="5" t="s">
        <v>57</v>
      </c>
      <c r="R644" s="5" t="s">
        <v>129</v>
      </c>
      <c r="S644" s="7" t="s">
        <v>1066</v>
      </c>
    </row>
    <row r="645" spans="1:19" x14ac:dyDescent="0.35">
      <c r="A645" s="6">
        <v>14170722</v>
      </c>
      <c r="B645" s="5" t="s">
        <v>164</v>
      </c>
      <c r="C645" s="5" t="s">
        <v>163</v>
      </c>
      <c r="D645" s="5" t="s">
        <v>199</v>
      </c>
      <c r="E645" s="5" t="s">
        <v>133</v>
      </c>
      <c r="F645" s="5" t="s">
        <v>1064</v>
      </c>
      <c r="G645" s="5"/>
      <c r="H645" s="5">
        <v>1149</v>
      </c>
      <c r="I645" s="5" t="s">
        <v>817</v>
      </c>
      <c r="J645" s="5" t="s">
        <v>212</v>
      </c>
      <c r="K645" s="5">
        <v>4.3</v>
      </c>
      <c r="L645" s="5">
        <v>882</v>
      </c>
      <c r="M645" s="5">
        <v>0.47</v>
      </c>
      <c r="N645" s="5">
        <v>1790.0851063829789</v>
      </c>
      <c r="O645" s="5"/>
      <c r="P645" s="5" t="s">
        <v>212</v>
      </c>
      <c r="Q645" s="5" t="s">
        <v>57</v>
      </c>
      <c r="R645" s="5" t="s">
        <v>129</v>
      </c>
      <c r="S645" s="7" t="s">
        <v>1065</v>
      </c>
    </row>
    <row r="646" spans="1:19" x14ac:dyDescent="0.35">
      <c r="A646" s="6">
        <v>10679270</v>
      </c>
      <c r="B646" s="5" t="s">
        <v>1062</v>
      </c>
      <c r="C646" s="5" t="s">
        <v>163</v>
      </c>
      <c r="D646" s="5" t="s">
        <v>228</v>
      </c>
      <c r="E646" s="5" t="s">
        <v>133</v>
      </c>
      <c r="F646" s="5" t="s">
        <v>1061</v>
      </c>
      <c r="G646" s="5"/>
      <c r="H646" s="5">
        <v>2399</v>
      </c>
      <c r="I646" s="5" t="s">
        <v>230</v>
      </c>
      <c r="J646" s="5" t="s">
        <v>196</v>
      </c>
      <c r="K646" s="5">
        <v>4.3</v>
      </c>
      <c r="L646" s="5">
        <v>882</v>
      </c>
      <c r="M646" s="5">
        <v>0.62</v>
      </c>
      <c r="N646" s="5">
        <v>1790.0851063829789</v>
      </c>
      <c r="O646" s="5"/>
      <c r="P646" s="5" t="s">
        <v>196</v>
      </c>
      <c r="Q646" s="5" t="s">
        <v>55</v>
      </c>
      <c r="R646" s="5" t="s">
        <v>129</v>
      </c>
      <c r="S646" s="7" t="s">
        <v>1063</v>
      </c>
    </row>
    <row r="647" spans="1:19" x14ac:dyDescent="0.35">
      <c r="A647" s="6">
        <v>17384184</v>
      </c>
      <c r="B647" s="5" t="s">
        <v>250</v>
      </c>
      <c r="C647" s="5" t="s">
        <v>163</v>
      </c>
      <c r="D647" s="5" t="s">
        <v>77</v>
      </c>
      <c r="E647" s="5" t="s">
        <v>133</v>
      </c>
      <c r="F647" s="5" t="s">
        <v>1059</v>
      </c>
      <c r="G647" s="5"/>
      <c r="H647" s="5">
        <v>1398</v>
      </c>
      <c r="I647" s="5"/>
      <c r="J647" s="5" t="s">
        <v>192</v>
      </c>
      <c r="K647" s="5">
        <v>4.0999999999999996</v>
      </c>
      <c r="L647" s="5">
        <v>882</v>
      </c>
      <c r="M647" s="5"/>
      <c r="N647" s="5">
        <v>1790.0851063829789</v>
      </c>
      <c r="O647" s="5">
        <v>1790.0851063829789</v>
      </c>
      <c r="P647" s="5" t="s">
        <v>192</v>
      </c>
      <c r="Q647" s="5" t="s">
        <v>57</v>
      </c>
      <c r="R647" s="5" t="s">
        <v>129</v>
      </c>
      <c r="S647" s="7" t="s">
        <v>1060</v>
      </c>
    </row>
    <row r="648" spans="1:19" x14ac:dyDescent="0.35">
      <c r="A648" s="6">
        <v>10187629</v>
      </c>
      <c r="B648" s="5" t="s">
        <v>183</v>
      </c>
      <c r="C648" s="5" t="s">
        <v>142</v>
      </c>
      <c r="D648" s="5" t="s">
        <v>141</v>
      </c>
      <c r="E648" s="5" t="s">
        <v>140</v>
      </c>
      <c r="F648" s="5" t="s">
        <v>1057</v>
      </c>
      <c r="G648" s="5">
        <v>1199</v>
      </c>
      <c r="H648" s="5">
        <v>2399</v>
      </c>
      <c r="I648" s="5" t="s">
        <v>209</v>
      </c>
      <c r="J648" s="5" t="s">
        <v>208</v>
      </c>
      <c r="K648" s="5">
        <v>4.3</v>
      </c>
      <c r="L648" s="5">
        <v>881</v>
      </c>
      <c r="M648" s="5">
        <v>0.5</v>
      </c>
      <c r="N648" s="5">
        <v>1138.6340612208289</v>
      </c>
      <c r="O648" s="5">
        <v>1199</v>
      </c>
      <c r="P648" s="5" t="s">
        <v>208</v>
      </c>
      <c r="Q648" s="5" t="s">
        <v>57</v>
      </c>
      <c r="R648" s="5" t="s">
        <v>129</v>
      </c>
      <c r="S648" s="7" t="s">
        <v>1058</v>
      </c>
    </row>
    <row r="649" spans="1:19" x14ac:dyDescent="0.35">
      <c r="A649" s="6">
        <v>10187221</v>
      </c>
      <c r="B649" s="5" t="s">
        <v>183</v>
      </c>
      <c r="C649" s="5" t="s">
        <v>142</v>
      </c>
      <c r="D649" s="5" t="s">
        <v>493</v>
      </c>
      <c r="E649" s="5" t="s">
        <v>140</v>
      </c>
      <c r="F649" s="5" t="s">
        <v>1055</v>
      </c>
      <c r="G649" s="5">
        <v>1839</v>
      </c>
      <c r="H649" s="5">
        <v>4599</v>
      </c>
      <c r="I649" s="5" t="s">
        <v>223</v>
      </c>
      <c r="J649" s="5" t="s">
        <v>572</v>
      </c>
      <c r="K649" s="5">
        <v>4</v>
      </c>
      <c r="L649" s="5">
        <v>881</v>
      </c>
      <c r="M649" s="5">
        <v>0.6</v>
      </c>
      <c r="N649" s="5">
        <v>1138.6340612208289</v>
      </c>
      <c r="O649" s="5">
        <v>1839</v>
      </c>
      <c r="P649" s="5" t="s">
        <v>572</v>
      </c>
      <c r="Q649" s="5" t="s">
        <v>55</v>
      </c>
      <c r="R649" s="5" t="s">
        <v>129</v>
      </c>
      <c r="S649" s="7" t="s">
        <v>1056</v>
      </c>
    </row>
    <row r="650" spans="1:19" x14ac:dyDescent="0.35">
      <c r="A650" s="6">
        <v>9301353</v>
      </c>
      <c r="B650" s="5" t="s">
        <v>247</v>
      </c>
      <c r="C650" s="5" t="s">
        <v>135</v>
      </c>
      <c r="D650" s="5" t="s">
        <v>168</v>
      </c>
      <c r="E650" s="5" t="s">
        <v>133</v>
      </c>
      <c r="F650" s="5" t="s">
        <v>1053</v>
      </c>
      <c r="G650" s="5">
        <v>944</v>
      </c>
      <c r="H650" s="5">
        <v>1499</v>
      </c>
      <c r="I650" s="5" t="s">
        <v>549</v>
      </c>
      <c r="J650" s="5" t="s">
        <v>243</v>
      </c>
      <c r="K650" s="5">
        <v>4.3</v>
      </c>
      <c r="L650" s="5">
        <v>881</v>
      </c>
      <c r="M650" s="5">
        <v>0.37</v>
      </c>
      <c r="N650" s="5">
        <v>1493.337491012077</v>
      </c>
      <c r="O650" s="5">
        <v>944</v>
      </c>
      <c r="P650" s="5" t="s">
        <v>243</v>
      </c>
      <c r="Q650" s="5" t="s">
        <v>57</v>
      </c>
      <c r="R650" s="5" t="s">
        <v>129</v>
      </c>
      <c r="S650" s="7" t="s">
        <v>1054</v>
      </c>
    </row>
    <row r="651" spans="1:19" x14ac:dyDescent="0.35">
      <c r="A651" s="6">
        <v>16697006</v>
      </c>
      <c r="B651" s="5" t="s">
        <v>312</v>
      </c>
      <c r="C651" s="5" t="s">
        <v>135</v>
      </c>
      <c r="D651" s="5" t="s">
        <v>174</v>
      </c>
      <c r="E651" s="5" t="s">
        <v>133</v>
      </c>
      <c r="F651" s="5" t="s">
        <v>1051</v>
      </c>
      <c r="G651" s="5">
        <v>608</v>
      </c>
      <c r="H651" s="5">
        <v>2099</v>
      </c>
      <c r="I651" s="5" t="s">
        <v>1050</v>
      </c>
      <c r="J651" s="5" t="s">
        <v>171</v>
      </c>
      <c r="K651" s="5">
        <v>3.9</v>
      </c>
      <c r="L651" s="5">
        <v>881</v>
      </c>
      <c r="M651" s="5">
        <v>0.71</v>
      </c>
      <c r="N651" s="5">
        <v>1493.337491012077</v>
      </c>
      <c r="O651" s="5">
        <v>608</v>
      </c>
      <c r="P651" s="5" t="s">
        <v>171</v>
      </c>
      <c r="Q651" s="5" t="s">
        <v>55</v>
      </c>
      <c r="R651" s="5" t="s">
        <v>129</v>
      </c>
      <c r="S651" s="7" t="s">
        <v>1052</v>
      </c>
    </row>
    <row r="652" spans="1:19" x14ac:dyDescent="0.35">
      <c r="A652" s="6">
        <v>1413902</v>
      </c>
      <c r="B652" s="5" t="s">
        <v>1048</v>
      </c>
      <c r="C652" s="5" t="s">
        <v>273</v>
      </c>
      <c r="D652" s="5" t="s">
        <v>272</v>
      </c>
      <c r="E652" s="5" t="s">
        <v>133</v>
      </c>
      <c r="F652" s="5" t="s">
        <v>1047</v>
      </c>
      <c r="G652" s="5">
        <v>259</v>
      </c>
      <c r="H652" s="5">
        <v>499</v>
      </c>
      <c r="I652" s="5" t="s">
        <v>371</v>
      </c>
      <c r="J652" s="5" t="s">
        <v>1046</v>
      </c>
      <c r="K652" s="5">
        <v>4.2</v>
      </c>
      <c r="L652" s="5">
        <v>881</v>
      </c>
      <c r="M652" s="5">
        <v>0.48</v>
      </c>
      <c r="N652" s="5">
        <v>811.90284167198604</v>
      </c>
      <c r="O652" s="5">
        <v>259</v>
      </c>
      <c r="P652" s="5" t="s">
        <v>1046</v>
      </c>
      <c r="Q652" s="5" t="s">
        <v>57</v>
      </c>
      <c r="R652" s="5" t="s">
        <v>129</v>
      </c>
      <c r="S652" s="7" t="s">
        <v>1049</v>
      </c>
    </row>
    <row r="653" spans="1:19" x14ac:dyDescent="0.35">
      <c r="A653" s="6">
        <v>2499823</v>
      </c>
      <c r="B653" s="5" t="s">
        <v>143</v>
      </c>
      <c r="C653" s="5" t="s">
        <v>235</v>
      </c>
      <c r="D653" s="5" t="s">
        <v>228</v>
      </c>
      <c r="E653" s="5" t="s">
        <v>133</v>
      </c>
      <c r="F653" s="5" t="s">
        <v>1044</v>
      </c>
      <c r="G653" s="5">
        <v>689</v>
      </c>
      <c r="H653" s="5">
        <v>2299</v>
      </c>
      <c r="I653" s="5" t="s">
        <v>233</v>
      </c>
      <c r="J653" s="5" t="s">
        <v>196</v>
      </c>
      <c r="K653" s="5">
        <v>4.3</v>
      </c>
      <c r="L653" s="5">
        <v>881</v>
      </c>
      <c r="M653" s="5">
        <v>0.7</v>
      </c>
      <c r="N653" s="5">
        <v>923.69459774582197</v>
      </c>
      <c r="O653" s="5">
        <v>689</v>
      </c>
      <c r="P653" s="5" t="s">
        <v>196</v>
      </c>
      <c r="Q653" s="5" t="s">
        <v>55</v>
      </c>
      <c r="R653" s="5" t="s">
        <v>129</v>
      </c>
      <c r="S653" s="7" t="s">
        <v>1045</v>
      </c>
    </row>
    <row r="654" spans="1:19" x14ac:dyDescent="0.35">
      <c r="A654" s="6">
        <v>1244305</v>
      </c>
      <c r="B654" s="5" t="s">
        <v>200</v>
      </c>
      <c r="C654" s="5" t="s">
        <v>163</v>
      </c>
      <c r="D654" s="5" t="s">
        <v>194</v>
      </c>
      <c r="E654" s="5" t="s">
        <v>133</v>
      </c>
      <c r="F654" s="5" t="s">
        <v>1042</v>
      </c>
      <c r="G654" s="5"/>
      <c r="H654" s="5">
        <v>1349</v>
      </c>
      <c r="I654" s="5" t="s">
        <v>178</v>
      </c>
      <c r="J654" s="5" t="s">
        <v>192</v>
      </c>
      <c r="K654" s="5">
        <v>4.2</v>
      </c>
      <c r="L654" s="5">
        <v>881</v>
      </c>
      <c r="M654" s="5">
        <v>0.55000000000000004</v>
      </c>
      <c r="N654" s="5">
        <v>1790.0851063829789</v>
      </c>
      <c r="O654" s="5"/>
      <c r="P654" s="5" t="s">
        <v>192</v>
      </c>
      <c r="Q654" s="5" t="s">
        <v>55</v>
      </c>
      <c r="R654" s="5" t="s">
        <v>129</v>
      </c>
      <c r="S654" s="7" t="s">
        <v>1043</v>
      </c>
    </row>
    <row r="655" spans="1:19" x14ac:dyDescent="0.35">
      <c r="A655" s="6">
        <v>9205377</v>
      </c>
      <c r="B655" s="5" t="s">
        <v>250</v>
      </c>
      <c r="C655" s="5" t="s">
        <v>163</v>
      </c>
      <c r="D655" s="5" t="s">
        <v>162</v>
      </c>
      <c r="E655" s="5" t="s">
        <v>133</v>
      </c>
      <c r="F655" s="5" t="s">
        <v>1040</v>
      </c>
      <c r="G655" s="5"/>
      <c r="H655" s="5">
        <v>1699</v>
      </c>
      <c r="I655" s="5" t="s">
        <v>209</v>
      </c>
      <c r="J655" s="5" t="s">
        <v>222</v>
      </c>
      <c r="K655" s="5">
        <v>3.9</v>
      </c>
      <c r="L655" s="5">
        <v>881</v>
      </c>
      <c r="M655" s="5">
        <v>0.5</v>
      </c>
      <c r="N655" s="5">
        <v>1790.0851063829789</v>
      </c>
      <c r="O655" s="5"/>
      <c r="P655" s="5" t="s">
        <v>222</v>
      </c>
      <c r="Q655" s="5" t="s">
        <v>57</v>
      </c>
      <c r="R655" s="5" t="s">
        <v>129</v>
      </c>
      <c r="S655" s="7" t="s">
        <v>1041</v>
      </c>
    </row>
    <row r="656" spans="1:19" x14ac:dyDescent="0.35">
      <c r="A656" s="6">
        <v>12738028</v>
      </c>
      <c r="B656" s="5" t="s">
        <v>472</v>
      </c>
      <c r="C656" s="5" t="s">
        <v>163</v>
      </c>
      <c r="D656" s="5" t="s">
        <v>806</v>
      </c>
      <c r="E656" s="5" t="s">
        <v>133</v>
      </c>
      <c r="F656" s="5" t="s">
        <v>1038</v>
      </c>
      <c r="G656" s="5"/>
      <c r="H656" s="5">
        <v>1799</v>
      </c>
      <c r="I656" s="5" t="s">
        <v>817</v>
      </c>
      <c r="J656" s="5" t="s">
        <v>196</v>
      </c>
      <c r="K656" s="5">
        <v>4.5</v>
      </c>
      <c r="L656" s="5">
        <v>881</v>
      </c>
      <c r="M656" s="5">
        <v>0.47</v>
      </c>
      <c r="N656" s="5">
        <v>1790.0851063829789</v>
      </c>
      <c r="O656" s="5"/>
      <c r="P656" s="5" t="s">
        <v>196</v>
      </c>
      <c r="Q656" s="5" t="s">
        <v>57</v>
      </c>
      <c r="R656" s="5" t="s">
        <v>129</v>
      </c>
      <c r="S656" s="7" t="s">
        <v>1039</v>
      </c>
    </row>
    <row r="657" spans="1:19" x14ac:dyDescent="0.35">
      <c r="A657" s="6">
        <v>10710942</v>
      </c>
      <c r="B657" s="5" t="s">
        <v>164</v>
      </c>
      <c r="C657" s="5" t="s">
        <v>163</v>
      </c>
      <c r="D657" s="5" t="s">
        <v>162</v>
      </c>
      <c r="E657" s="5" t="s">
        <v>133</v>
      </c>
      <c r="F657" s="5" t="s">
        <v>1036</v>
      </c>
      <c r="G657" s="5"/>
      <c r="H657" s="5">
        <v>1899</v>
      </c>
      <c r="I657" s="5" t="s">
        <v>1035</v>
      </c>
      <c r="J657" s="5" t="s">
        <v>505</v>
      </c>
      <c r="K657" s="5">
        <v>4.0999999999999996</v>
      </c>
      <c r="L657" s="5">
        <v>881</v>
      </c>
      <c r="M657" s="5">
        <v>0.49</v>
      </c>
      <c r="N657" s="5">
        <v>1790.0851063829789</v>
      </c>
      <c r="O657" s="5"/>
      <c r="P657" s="5" t="s">
        <v>505</v>
      </c>
      <c r="Q657" s="5" t="s">
        <v>57</v>
      </c>
      <c r="R657" s="5" t="s">
        <v>129</v>
      </c>
      <c r="S657" s="7" t="s">
        <v>1037</v>
      </c>
    </row>
    <row r="658" spans="1:19" x14ac:dyDescent="0.35">
      <c r="A658" s="6">
        <v>2012863</v>
      </c>
      <c r="B658" s="5" t="s">
        <v>216</v>
      </c>
      <c r="C658" s="5" t="s">
        <v>142</v>
      </c>
      <c r="D658" s="5" t="s">
        <v>141</v>
      </c>
      <c r="E658" s="5" t="s">
        <v>140</v>
      </c>
      <c r="F658" s="5" t="s">
        <v>1033</v>
      </c>
      <c r="G658" s="5">
        <v>644</v>
      </c>
      <c r="H658" s="5">
        <v>1499</v>
      </c>
      <c r="I658" s="5" t="s">
        <v>213</v>
      </c>
      <c r="J658" s="5" t="s">
        <v>348</v>
      </c>
      <c r="K658" s="5">
        <v>3.9</v>
      </c>
      <c r="L658" s="5">
        <v>880</v>
      </c>
      <c r="M658" s="5">
        <v>0.56999999999999995</v>
      </c>
      <c r="N658" s="5">
        <v>1138.6340612208289</v>
      </c>
      <c r="O658" s="5">
        <v>644</v>
      </c>
      <c r="P658" s="5" t="s">
        <v>348</v>
      </c>
      <c r="Q658" s="5" t="s">
        <v>55</v>
      </c>
      <c r="R658" s="5" t="s">
        <v>129</v>
      </c>
      <c r="S658" s="7" t="s">
        <v>1034</v>
      </c>
    </row>
    <row r="659" spans="1:19" x14ac:dyDescent="0.35">
      <c r="A659" s="6">
        <v>13817718</v>
      </c>
      <c r="B659" s="5" t="s">
        <v>463</v>
      </c>
      <c r="C659" s="5" t="s">
        <v>135</v>
      </c>
      <c r="D659" s="5" t="s">
        <v>377</v>
      </c>
      <c r="E659" s="5" t="s">
        <v>133</v>
      </c>
      <c r="F659" s="5" t="s">
        <v>1031</v>
      </c>
      <c r="G659" s="5">
        <v>2399</v>
      </c>
      <c r="H659" s="5">
        <v>5999</v>
      </c>
      <c r="I659" s="5" t="s">
        <v>223</v>
      </c>
      <c r="J659" s="5" t="s">
        <v>150</v>
      </c>
      <c r="K659" s="5">
        <v>4.5</v>
      </c>
      <c r="L659" s="5">
        <v>880</v>
      </c>
      <c r="M659" s="5">
        <v>0.6</v>
      </c>
      <c r="N659" s="5">
        <v>1493.337491012077</v>
      </c>
      <c r="O659" s="5">
        <v>2399</v>
      </c>
      <c r="P659" s="5" t="s">
        <v>150</v>
      </c>
      <c r="Q659" s="5" t="s">
        <v>55</v>
      </c>
      <c r="R659" s="5" t="s">
        <v>129</v>
      </c>
      <c r="S659" s="7" t="s">
        <v>1032</v>
      </c>
    </row>
    <row r="660" spans="1:19" x14ac:dyDescent="0.35">
      <c r="A660" s="6">
        <v>9341399</v>
      </c>
      <c r="B660" s="5" t="s">
        <v>450</v>
      </c>
      <c r="C660" s="5" t="s">
        <v>163</v>
      </c>
      <c r="D660" s="5" t="s">
        <v>194</v>
      </c>
      <c r="E660" s="5" t="s">
        <v>133</v>
      </c>
      <c r="F660" s="5" t="s">
        <v>1029</v>
      </c>
      <c r="G660" s="5"/>
      <c r="H660" s="5">
        <v>1998</v>
      </c>
      <c r="I660" s="5" t="s">
        <v>209</v>
      </c>
      <c r="J660" s="5" t="s">
        <v>212</v>
      </c>
      <c r="K660" s="5">
        <v>4.2</v>
      </c>
      <c r="L660" s="5">
        <v>880</v>
      </c>
      <c r="M660" s="5">
        <v>0.5</v>
      </c>
      <c r="N660" s="5">
        <v>1790.0851063829789</v>
      </c>
      <c r="O660" s="5"/>
      <c r="P660" s="5" t="s">
        <v>212</v>
      </c>
      <c r="Q660" s="5" t="s">
        <v>57</v>
      </c>
      <c r="R660" s="5" t="s">
        <v>129</v>
      </c>
      <c r="S660" s="7" t="s">
        <v>1030</v>
      </c>
    </row>
    <row r="661" spans="1:19" x14ac:dyDescent="0.35">
      <c r="A661" s="6">
        <v>10398025</v>
      </c>
      <c r="B661" s="5" t="s">
        <v>250</v>
      </c>
      <c r="C661" s="5" t="s">
        <v>142</v>
      </c>
      <c r="D661" s="5" t="s">
        <v>141</v>
      </c>
      <c r="E661" s="5" t="s">
        <v>140</v>
      </c>
      <c r="F661" s="5" t="s">
        <v>1027</v>
      </c>
      <c r="G661" s="5">
        <v>649</v>
      </c>
      <c r="H661" s="5">
        <v>1299</v>
      </c>
      <c r="I661" s="5" t="s">
        <v>209</v>
      </c>
      <c r="J661" s="5" t="s">
        <v>276</v>
      </c>
      <c r="K661" s="5">
        <v>4.3</v>
      </c>
      <c r="L661" s="5">
        <v>879</v>
      </c>
      <c r="M661" s="5">
        <v>0.5</v>
      </c>
      <c r="N661" s="5">
        <v>1138.6340612208289</v>
      </c>
      <c r="O661" s="5">
        <v>649</v>
      </c>
      <c r="P661" s="5" t="s">
        <v>276</v>
      </c>
      <c r="Q661" s="5" t="s">
        <v>57</v>
      </c>
      <c r="R661" s="5" t="s">
        <v>129</v>
      </c>
      <c r="S661" s="7" t="s">
        <v>1028</v>
      </c>
    </row>
    <row r="662" spans="1:19" x14ac:dyDescent="0.35">
      <c r="A662" s="6">
        <v>11746280</v>
      </c>
      <c r="B662" s="5" t="s">
        <v>339</v>
      </c>
      <c r="C662" s="5" t="s">
        <v>142</v>
      </c>
      <c r="D662" s="5" t="s">
        <v>141</v>
      </c>
      <c r="E662" s="5" t="s">
        <v>140</v>
      </c>
      <c r="F662" s="5" t="s">
        <v>1025</v>
      </c>
      <c r="G662" s="5">
        <v>769</v>
      </c>
      <c r="H662" s="5">
        <v>1399</v>
      </c>
      <c r="I662" s="5" t="s">
        <v>36</v>
      </c>
      <c r="J662" s="5" t="s">
        <v>348</v>
      </c>
      <c r="K662" s="5">
        <v>4.4000000000000004</v>
      </c>
      <c r="L662" s="5">
        <v>879</v>
      </c>
      <c r="M662" s="5">
        <v>0.45</v>
      </c>
      <c r="N662" s="5">
        <v>1138.6340612208289</v>
      </c>
      <c r="O662" s="5">
        <v>769</v>
      </c>
      <c r="P662" s="5" t="s">
        <v>348</v>
      </c>
      <c r="Q662" s="5" t="s">
        <v>57</v>
      </c>
      <c r="R662" s="5" t="s">
        <v>129</v>
      </c>
      <c r="S662" s="7" t="s">
        <v>1026</v>
      </c>
    </row>
    <row r="663" spans="1:19" x14ac:dyDescent="0.35">
      <c r="A663" s="6">
        <v>13919148</v>
      </c>
      <c r="B663" s="5" t="s">
        <v>1023</v>
      </c>
      <c r="C663" s="5" t="s">
        <v>135</v>
      </c>
      <c r="D663" s="5" t="s">
        <v>174</v>
      </c>
      <c r="E663" s="5" t="s">
        <v>133</v>
      </c>
      <c r="F663" s="5" t="s">
        <v>1022</v>
      </c>
      <c r="G663" s="5">
        <v>1499</v>
      </c>
      <c r="H663" s="5">
        <v>2998</v>
      </c>
      <c r="I663" s="5" t="s">
        <v>209</v>
      </c>
      <c r="J663" s="5" t="s">
        <v>171</v>
      </c>
      <c r="K663" s="5">
        <v>4.2</v>
      </c>
      <c r="L663" s="5">
        <v>879</v>
      </c>
      <c r="M663" s="5">
        <v>0.5</v>
      </c>
      <c r="N663" s="5">
        <v>1493.337491012077</v>
      </c>
      <c r="O663" s="5">
        <v>1499</v>
      </c>
      <c r="P663" s="5" t="s">
        <v>171</v>
      </c>
      <c r="Q663" s="5" t="s">
        <v>57</v>
      </c>
      <c r="R663" s="5" t="s">
        <v>129</v>
      </c>
      <c r="S663" s="7" t="s">
        <v>1024</v>
      </c>
    </row>
    <row r="664" spans="1:19" x14ac:dyDescent="0.35">
      <c r="A664" s="6">
        <v>13709580</v>
      </c>
      <c r="B664" s="5" t="s">
        <v>540</v>
      </c>
      <c r="C664" s="5" t="s">
        <v>163</v>
      </c>
      <c r="D664" s="5" t="s">
        <v>194</v>
      </c>
      <c r="E664" s="5" t="s">
        <v>133</v>
      </c>
      <c r="F664" s="5" t="s">
        <v>1020</v>
      </c>
      <c r="G664" s="5"/>
      <c r="H664" s="5">
        <v>1499</v>
      </c>
      <c r="I664" s="5" t="s">
        <v>817</v>
      </c>
      <c r="J664" s="5" t="s">
        <v>196</v>
      </c>
      <c r="K664" s="5">
        <v>4.4000000000000004</v>
      </c>
      <c r="L664" s="5">
        <v>879</v>
      </c>
      <c r="M664" s="5">
        <v>0.47</v>
      </c>
      <c r="N664" s="5">
        <v>1790.0851063829789</v>
      </c>
      <c r="O664" s="5"/>
      <c r="P664" s="5" t="s">
        <v>196</v>
      </c>
      <c r="Q664" s="5" t="s">
        <v>57</v>
      </c>
      <c r="R664" s="5" t="s">
        <v>129</v>
      </c>
      <c r="S664" s="7" t="s">
        <v>1021</v>
      </c>
    </row>
    <row r="665" spans="1:19" x14ac:dyDescent="0.35">
      <c r="A665" s="6">
        <v>3081630</v>
      </c>
      <c r="B665" s="5" t="s">
        <v>250</v>
      </c>
      <c r="C665" s="5" t="s">
        <v>189</v>
      </c>
      <c r="D665" s="5" t="s">
        <v>188</v>
      </c>
      <c r="E665" s="5" t="s">
        <v>140</v>
      </c>
      <c r="F665" s="5" t="s">
        <v>1018</v>
      </c>
      <c r="G665" s="5">
        <v>1559</v>
      </c>
      <c r="H665" s="5">
        <v>2599</v>
      </c>
      <c r="I665" s="5" t="s">
        <v>131</v>
      </c>
      <c r="J665" s="5" t="s">
        <v>408</v>
      </c>
      <c r="K665" s="5">
        <v>4.3</v>
      </c>
      <c r="L665" s="5">
        <v>878</v>
      </c>
      <c r="M665" s="5">
        <v>0.4</v>
      </c>
      <c r="N665" s="5">
        <v>1351.2078667815099</v>
      </c>
      <c r="O665" s="5">
        <v>1559</v>
      </c>
      <c r="P665" s="5" t="s">
        <v>408</v>
      </c>
      <c r="Q665" s="5" t="s">
        <v>57</v>
      </c>
      <c r="R665" s="5" t="s">
        <v>129</v>
      </c>
      <c r="S665" s="7" t="s">
        <v>1019</v>
      </c>
    </row>
    <row r="666" spans="1:19" x14ac:dyDescent="0.35">
      <c r="A666" s="6">
        <v>13676458</v>
      </c>
      <c r="B666" s="5" t="s">
        <v>157</v>
      </c>
      <c r="C666" s="5" t="s">
        <v>156</v>
      </c>
      <c r="D666" s="5" t="s">
        <v>155</v>
      </c>
      <c r="E666" s="5" t="s">
        <v>140</v>
      </c>
      <c r="F666" s="5" t="s">
        <v>1016</v>
      </c>
      <c r="G666" s="5">
        <v>988</v>
      </c>
      <c r="H666" s="5">
        <v>1798</v>
      </c>
      <c r="I666" s="5" t="s">
        <v>36</v>
      </c>
      <c r="J666" s="5" t="s">
        <v>150</v>
      </c>
      <c r="K666" s="5">
        <v>4.0999999999999996</v>
      </c>
      <c r="L666" s="5">
        <v>878</v>
      </c>
      <c r="M666" s="5">
        <v>0.45</v>
      </c>
      <c r="N666" s="5">
        <v>691.83976143141149</v>
      </c>
      <c r="O666" s="5">
        <v>988</v>
      </c>
      <c r="P666" s="5" t="s">
        <v>150</v>
      </c>
      <c r="Q666" s="5" t="s">
        <v>57</v>
      </c>
      <c r="R666" s="5" t="s">
        <v>129</v>
      </c>
      <c r="S666" s="7" t="s">
        <v>1017</v>
      </c>
    </row>
    <row r="667" spans="1:19" x14ac:dyDescent="0.35">
      <c r="A667" s="6">
        <v>12382656</v>
      </c>
      <c r="B667" s="5" t="s">
        <v>1014</v>
      </c>
      <c r="C667" s="5" t="s">
        <v>273</v>
      </c>
      <c r="D667" s="5" t="s">
        <v>272</v>
      </c>
      <c r="E667" s="5" t="s">
        <v>133</v>
      </c>
      <c r="F667" s="5" t="s">
        <v>1013</v>
      </c>
      <c r="G667" s="5">
        <v>679</v>
      </c>
      <c r="H667" s="5">
        <v>3234</v>
      </c>
      <c r="I667" s="5" t="s">
        <v>1012</v>
      </c>
      <c r="J667" s="5" t="s">
        <v>1011</v>
      </c>
      <c r="K667" s="5">
        <v>3.9</v>
      </c>
      <c r="L667" s="5">
        <v>878</v>
      </c>
      <c r="M667" s="5">
        <v>0.79</v>
      </c>
      <c r="N667" s="5">
        <v>811.90284167198604</v>
      </c>
      <c r="O667" s="5">
        <v>679</v>
      </c>
      <c r="P667" s="5" t="s">
        <v>1011</v>
      </c>
      <c r="Q667" s="5" t="s">
        <v>55</v>
      </c>
      <c r="R667" s="5" t="s">
        <v>129</v>
      </c>
      <c r="S667" s="7" t="s">
        <v>1015</v>
      </c>
    </row>
    <row r="668" spans="1:19" x14ac:dyDescent="0.35">
      <c r="A668" s="6">
        <v>10166985</v>
      </c>
      <c r="B668" s="5" t="s">
        <v>507</v>
      </c>
      <c r="C668" s="5" t="s">
        <v>163</v>
      </c>
      <c r="D668" s="5" t="s">
        <v>228</v>
      </c>
      <c r="E668" s="5" t="s">
        <v>133</v>
      </c>
      <c r="F668" s="5" t="s">
        <v>1009</v>
      </c>
      <c r="G668" s="5"/>
      <c r="H668" s="5">
        <v>1749</v>
      </c>
      <c r="I668" s="5" t="s">
        <v>209</v>
      </c>
      <c r="J668" s="5" t="s">
        <v>192</v>
      </c>
      <c r="K668" s="5">
        <v>4.4000000000000004</v>
      </c>
      <c r="L668" s="5">
        <v>878</v>
      </c>
      <c r="M668" s="5">
        <v>0.5</v>
      </c>
      <c r="N668" s="5">
        <v>1790.0851063829789</v>
      </c>
      <c r="O668" s="5"/>
      <c r="P668" s="5" t="s">
        <v>192</v>
      </c>
      <c r="Q668" s="5" t="s">
        <v>57</v>
      </c>
      <c r="R668" s="5" t="s">
        <v>129</v>
      </c>
      <c r="S668" s="7" t="s">
        <v>1010</v>
      </c>
    </row>
    <row r="669" spans="1:19" x14ac:dyDescent="0.35">
      <c r="A669" s="6">
        <v>9657187</v>
      </c>
      <c r="B669" s="5" t="s">
        <v>200</v>
      </c>
      <c r="C669" s="5" t="s">
        <v>163</v>
      </c>
      <c r="D669" s="5" t="s">
        <v>385</v>
      </c>
      <c r="E669" s="5" t="s">
        <v>133</v>
      </c>
      <c r="F669" s="5" t="s">
        <v>1007</v>
      </c>
      <c r="G669" s="5"/>
      <c r="H669" s="5">
        <v>2299</v>
      </c>
      <c r="I669" s="5" t="s">
        <v>283</v>
      </c>
      <c r="J669" s="5" t="s">
        <v>222</v>
      </c>
      <c r="K669" s="5">
        <v>4.0999999999999996</v>
      </c>
      <c r="L669" s="5">
        <v>878</v>
      </c>
      <c r="M669" s="5">
        <v>0.7</v>
      </c>
      <c r="N669" s="5">
        <v>1790.0851063829789</v>
      </c>
      <c r="O669" s="5"/>
      <c r="P669" s="5" t="s">
        <v>222</v>
      </c>
      <c r="Q669" s="5" t="s">
        <v>55</v>
      </c>
      <c r="R669" s="5" t="s">
        <v>129</v>
      </c>
      <c r="S669" s="7" t="s">
        <v>1008</v>
      </c>
    </row>
    <row r="670" spans="1:19" x14ac:dyDescent="0.35">
      <c r="A670" s="6">
        <v>9740079</v>
      </c>
      <c r="B670" s="5" t="s">
        <v>250</v>
      </c>
      <c r="C670" s="5" t="s">
        <v>163</v>
      </c>
      <c r="D670" s="5" t="s">
        <v>77</v>
      </c>
      <c r="E670" s="5" t="s">
        <v>133</v>
      </c>
      <c r="F670" s="5" t="s">
        <v>1005</v>
      </c>
      <c r="G670" s="5"/>
      <c r="H670" s="5">
        <v>699</v>
      </c>
      <c r="I670" s="5" t="s">
        <v>1004</v>
      </c>
      <c r="J670" s="5" t="s">
        <v>192</v>
      </c>
      <c r="K670" s="5">
        <v>4</v>
      </c>
      <c r="L670" s="5">
        <v>878</v>
      </c>
      <c r="M670" s="5">
        <v>2</v>
      </c>
      <c r="N670" s="5">
        <v>1790.0851063829789</v>
      </c>
      <c r="O670" s="5"/>
      <c r="P670" s="5" t="s">
        <v>192</v>
      </c>
      <c r="Q670" s="5" t="s">
        <v>55</v>
      </c>
      <c r="R670" s="5" t="s">
        <v>129</v>
      </c>
      <c r="S670" s="7" t="s">
        <v>1006</v>
      </c>
    </row>
    <row r="671" spans="1:19" x14ac:dyDescent="0.35">
      <c r="A671" s="6">
        <v>7695798</v>
      </c>
      <c r="B671" s="5" t="s">
        <v>152</v>
      </c>
      <c r="C671" s="5" t="s">
        <v>189</v>
      </c>
      <c r="D671" s="5" t="s">
        <v>199</v>
      </c>
      <c r="E671" s="5" t="s">
        <v>140</v>
      </c>
      <c r="F671" s="5" t="s">
        <v>1002</v>
      </c>
      <c r="G671" s="5">
        <v>919</v>
      </c>
      <c r="H671" s="5">
        <v>2299</v>
      </c>
      <c r="I671" s="5" t="s">
        <v>223</v>
      </c>
      <c r="J671" s="5" t="s">
        <v>150</v>
      </c>
      <c r="K671" s="5">
        <v>4.3</v>
      </c>
      <c r="L671" s="5">
        <v>877</v>
      </c>
      <c r="M671" s="5">
        <v>0.6</v>
      </c>
      <c r="N671" s="5">
        <v>1351.2078667815099</v>
      </c>
      <c r="O671" s="5">
        <v>919</v>
      </c>
      <c r="P671" s="5" t="s">
        <v>150</v>
      </c>
      <c r="Q671" s="5" t="s">
        <v>55</v>
      </c>
      <c r="R671" s="5" t="s">
        <v>129</v>
      </c>
      <c r="S671" s="7" t="s">
        <v>1003</v>
      </c>
    </row>
    <row r="672" spans="1:19" x14ac:dyDescent="0.35">
      <c r="A672" s="6">
        <v>8000719</v>
      </c>
      <c r="B672" s="5" t="s">
        <v>152</v>
      </c>
      <c r="C672" s="5" t="s">
        <v>189</v>
      </c>
      <c r="D672" s="5" t="s">
        <v>199</v>
      </c>
      <c r="E672" s="5" t="s">
        <v>140</v>
      </c>
      <c r="F672" s="5" t="s">
        <v>1000</v>
      </c>
      <c r="G672" s="5">
        <v>944</v>
      </c>
      <c r="H672" s="5">
        <v>2099</v>
      </c>
      <c r="I672" s="5" t="s">
        <v>178</v>
      </c>
      <c r="J672" s="5" t="s">
        <v>150</v>
      </c>
      <c r="K672" s="5">
        <v>4.0999999999999996</v>
      </c>
      <c r="L672" s="5">
        <v>877</v>
      </c>
      <c r="M672" s="5">
        <v>0.55000000000000004</v>
      </c>
      <c r="N672" s="5">
        <v>1351.2078667815099</v>
      </c>
      <c r="O672" s="5">
        <v>944</v>
      </c>
      <c r="P672" s="5" t="s">
        <v>150</v>
      </c>
      <c r="Q672" s="5" t="s">
        <v>55</v>
      </c>
      <c r="R672" s="5" t="s">
        <v>129</v>
      </c>
      <c r="S672" s="7" t="s">
        <v>1001</v>
      </c>
    </row>
    <row r="673" spans="1:19" x14ac:dyDescent="0.35">
      <c r="A673" s="6">
        <v>1778109</v>
      </c>
      <c r="B673" s="5" t="s">
        <v>998</v>
      </c>
      <c r="C673" s="5" t="s">
        <v>189</v>
      </c>
      <c r="D673" s="5" t="s">
        <v>188</v>
      </c>
      <c r="E673" s="5" t="s">
        <v>140</v>
      </c>
      <c r="F673" s="5" t="s">
        <v>997</v>
      </c>
      <c r="G673" s="5">
        <v>742</v>
      </c>
      <c r="H673" s="5">
        <v>1649</v>
      </c>
      <c r="I673" s="5" t="s">
        <v>178</v>
      </c>
      <c r="J673" s="5" t="s">
        <v>185</v>
      </c>
      <c r="K673" s="5">
        <v>4.0999999999999996</v>
      </c>
      <c r="L673" s="5">
        <v>877</v>
      </c>
      <c r="M673" s="5">
        <v>0.55000000000000004</v>
      </c>
      <c r="N673" s="5">
        <v>1351.2078667815099</v>
      </c>
      <c r="O673" s="5">
        <v>742</v>
      </c>
      <c r="P673" s="5" t="s">
        <v>185</v>
      </c>
      <c r="Q673" s="5" t="s">
        <v>55</v>
      </c>
      <c r="R673" s="5" t="s">
        <v>129</v>
      </c>
      <c r="S673" s="7" t="s">
        <v>999</v>
      </c>
    </row>
    <row r="674" spans="1:19" x14ac:dyDescent="0.35">
      <c r="A674" s="6">
        <v>10017021</v>
      </c>
      <c r="B674" s="5" t="s">
        <v>216</v>
      </c>
      <c r="C674" s="5" t="s">
        <v>142</v>
      </c>
      <c r="D674" s="5" t="s">
        <v>77</v>
      </c>
      <c r="E674" s="5" t="s">
        <v>140</v>
      </c>
      <c r="F674" s="5" t="s">
        <v>995</v>
      </c>
      <c r="G674" s="5">
        <v>386</v>
      </c>
      <c r="H674" s="5">
        <v>899</v>
      </c>
      <c r="I674" s="5" t="s">
        <v>213</v>
      </c>
      <c r="J674" s="5" t="s">
        <v>212</v>
      </c>
      <c r="K674" s="5">
        <v>3.8</v>
      </c>
      <c r="L674" s="5">
        <v>877</v>
      </c>
      <c r="M674" s="5">
        <v>0.56999999999999995</v>
      </c>
      <c r="N674" s="5">
        <v>1138.6340612208289</v>
      </c>
      <c r="O674" s="5">
        <v>386</v>
      </c>
      <c r="P674" s="5" t="s">
        <v>212</v>
      </c>
      <c r="Q674" s="5" t="s">
        <v>55</v>
      </c>
      <c r="R674" s="5" t="s">
        <v>129</v>
      </c>
      <c r="S674" s="7" t="s">
        <v>996</v>
      </c>
    </row>
    <row r="675" spans="1:19" x14ac:dyDescent="0.35">
      <c r="A675" s="6">
        <v>8090747</v>
      </c>
      <c r="B675" s="5" t="s">
        <v>993</v>
      </c>
      <c r="C675" s="5" t="s">
        <v>135</v>
      </c>
      <c r="D675" s="5" t="s">
        <v>377</v>
      </c>
      <c r="E675" s="5" t="s">
        <v>133</v>
      </c>
      <c r="F675" s="5" t="s">
        <v>992</v>
      </c>
      <c r="G675" s="5">
        <v>1349</v>
      </c>
      <c r="H675" s="5">
        <v>2999</v>
      </c>
      <c r="I675" s="5" t="s">
        <v>178</v>
      </c>
      <c r="J675" s="5" t="s">
        <v>150</v>
      </c>
      <c r="K675" s="5">
        <v>4</v>
      </c>
      <c r="L675" s="5">
        <v>877</v>
      </c>
      <c r="M675" s="5">
        <v>0.55000000000000004</v>
      </c>
      <c r="N675" s="5">
        <v>1493.337491012077</v>
      </c>
      <c r="O675" s="5">
        <v>1349</v>
      </c>
      <c r="P675" s="5" t="s">
        <v>150</v>
      </c>
      <c r="Q675" s="5" t="s">
        <v>55</v>
      </c>
      <c r="R675" s="5" t="s">
        <v>129</v>
      </c>
      <c r="S675" s="7" t="s">
        <v>994</v>
      </c>
    </row>
    <row r="676" spans="1:19" x14ac:dyDescent="0.35">
      <c r="A676" s="6">
        <v>12530338</v>
      </c>
      <c r="B676" s="5" t="s">
        <v>143</v>
      </c>
      <c r="C676" s="5" t="s">
        <v>235</v>
      </c>
      <c r="D676" s="5" t="s">
        <v>168</v>
      </c>
      <c r="E676" s="5" t="s">
        <v>133</v>
      </c>
      <c r="F676" s="5" t="s">
        <v>990</v>
      </c>
      <c r="G676" s="5">
        <v>404</v>
      </c>
      <c r="H676" s="5">
        <v>1349</v>
      </c>
      <c r="I676" s="5" t="s">
        <v>233</v>
      </c>
      <c r="J676" s="5" t="s">
        <v>177</v>
      </c>
      <c r="K676" s="5">
        <v>4.3</v>
      </c>
      <c r="L676" s="5">
        <v>877</v>
      </c>
      <c r="M676" s="5">
        <v>0.7</v>
      </c>
      <c r="N676" s="5">
        <v>923.69459774582197</v>
      </c>
      <c r="O676" s="5">
        <v>404</v>
      </c>
      <c r="P676" s="5" t="s">
        <v>177</v>
      </c>
      <c r="Q676" s="5" t="s">
        <v>55</v>
      </c>
      <c r="R676" s="5" t="s">
        <v>129</v>
      </c>
      <c r="S676" s="7" t="s">
        <v>991</v>
      </c>
    </row>
    <row r="677" spans="1:19" x14ac:dyDescent="0.35">
      <c r="A677" s="6">
        <v>8195013</v>
      </c>
      <c r="B677" s="5" t="s">
        <v>164</v>
      </c>
      <c r="C677" s="5" t="s">
        <v>163</v>
      </c>
      <c r="D677" s="5" t="s">
        <v>162</v>
      </c>
      <c r="E677" s="5" t="s">
        <v>133</v>
      </c>
      <c r="F677" s="5" t="s">
        <v>988</v>
      </c>
      <c r="G677" s="5"/>
      <c r="H677" s="5">
        <v>1899</v>
      </c>
      <c r="I677" s="5" t="s">
        <v>319</v>
      </c>
      <c r="J677" s="5" t="s">
        <v>505</v>
      </c>
      <c r="K677" s="5">
        <v>3.9</v>
      </c>
      <c r="L677" s="5">
        <v>877</v>
      </c>
      <c r="M677" s="5">
        <v>0.57999999999999996</v>
      </c>
      <c r="N677" s="5">
        <v>1790.0851063829789</v>
      </c>
      <c r="O677" s="5"/>
      <c r="P677" s="5" t="s">
        <v>505</v>
      </c>
      <c r="Q677" s="5" t="s">
        <v>55</v>
      </c>
      <c r="R677" s="5" t="s">
        <v>129</v>
      </c>
      <c r="S677" s="7" t="s">
        <v>989</v>
      </c>
    </row>
    <row r="678" spans="1:19" x14ac:dyDescent="0.35">
      <c r="A678" s="6">
        <v>6911333</v>
      </c>
      <c r="B678" s="5" t="s">
        <v>986</v>
      </c>
      <c r="C678" s="5" t="s">
        <v>163</v>
      </c>
      <c r="D678" s="5" t="s">
        <v>194</v>
      </c>
      <c r="E678" s="5" t="s">
        <v>133</v>
      </c>
      <c r="F678" s="5" t="s">
        <v>985</v>
      </c>
      <c r="G678" s="5"/>
      <c r="H678" s="5">
        <v>999</v>
      </c>
      <c r="I678" s="5" t="s">
        <v>178</v>
      </c>
      <c r="J678" s="5" t="s">
        <v>352</v>
      </c>
      <c r="K678" s="5">
        <v>4.2</v>
      </c>
      <c r="L678" s="5">
        <v>877</v>
      </c>
      <c r="M678" s="5">
        <v>0.55000000000000004</v>
      </c>
      <c r="N678" s="5">
        <v>1790.0851063829789</v>
      </c>
      <c r="O678" s="5"/>
      <c r="P678" s="5" t="s">
        <v>352</v>
      </c>
      <c r="Q678" s="5" t="s">
        <v>55</v>
      </c>
      <c r="R678" s="5" t="s">
        <v>129</v>
      </c>
      <c r="S678" s="7" t="s">
        <v>987</v>
      </c>
    </row>
    <row r="679" spans="1:19" x14ac:dyDescent="0.35">
      <c r="A679" s="6">
        <v>11036254</v>
      </c>
      <c r="B679" s="5" t="s">
        <v>443</v>
      </c>
      <c r="C679" s="5" t="s">
        <v>156</v>
      </c>
      <c r="D679" s="5" t="s">
        <v>500</v>
      </c>
      <c r="E679" s="5" t="s">
        <v>140</v>
      </c>
      <c r="F679" s="5" t="s">
        <v>983</v>
      </c>
      <c r="G679" s="5"/>
      <c r="H679" s="5">
        <v>599</v>
      </c>
      <c r="I679" s="5"/>
      <c r="J679" s="5" t="s">
        <v>352</v>
      </c>
      <c r="K679" s="5">
        <v>4.5999999999999996</v>
      </c>
      <c r="L679" s="5">
        <v>876</v>
      </c>
      <c r="M679" s="5"/>
      <c r="N679" s="5">
        <v>691.83976143141149</v>
      </c>
      <c r="O679" s="5">
        <v>691.83976143141149</v>
      </c>
      <c r="P679" s="5" t="s">
        <v>352</v>
      </c>
      <c r="Q679" s="5" t="s">
        <v>57</v>
      </c>
      <c r="R679" s="5" t="s">
        <v>129</v>
      </c>
      <c r="S679" s="7" t="s">
        <v>984</v>
      </c>
    </row>
    <row r="680" spans="1:19" x14ac:dyDescent="0.35">
      <c r="A680" s="6">
        <v>11363908</v>
      </c>
      <c r="B680" s="5" t="s">
        <v>183</v>
      </c>
      <c r="C680" s="5" t="s">
        <v>142</v>
      </c>
      <c r="D680" s="5" t="s">
        <v>77</v>
      </c>
      <c r="E680" s="5" t="s">
        <v>140</v>
      </c>
      <c r="F680" s="5" t="s">
        <v>981</v>
      </c>
      <c r="G680" s="5">
        <v>769</v>
      </c>
      <c r="H680" s="5">
        <v>1399</v>
      </c>
      <c r="I680" s="5" t="s">
        <v>36</v>
      </c>
      <c r="J680" s="5" t="s">
        <v>150</v>
      </c>
      <c r="K680" s="5">
        <v>4.2</v>
      </c>
      <c r="L680" s="5">
        <v>876</v>
      </c>
      <c r="M680" s="5">
        <v>0.45</v>
      </c>
      <c r="N680" s="5">
        <v>1138.6340612208289</v>
      </c>
      <c r="O680" s="5">
        <v>769</v>
      </c>
      <c r="P680" s="5" t="s">
        <v>150</v>
      </c>
      <c r="Q680" s="5" t="s">
        <v>57</v>
      </c>
      <c r="R680" s="5" t="s">
        <v>129</v>
      </c>
      <c r="S680" s="7" t="s">
        <v>982</v>
      </c>
    </row>
    <row r="681" spans="1:19" x14ac:dyDescent="0.35">
      <c r="A681" s="6">
        <v>10410606</v>
      </c>
      <c r="B681" s="5" t="s">
        <v>183</v>
      </c>
      <c r="C681" s="5" t="s">
        <v>142</v>
      </c>
      <c r="D681" s="5" t="s">
        <v>77</v>
      </c>
      <c r="E681" s="5" t="s">
        <v>140</v>
      </c>
      <c r="F681" s="5" t="s">
        <v>979</v>
      </c>
      <c r="G681" s="5">
        <v>699</v>
      </c>
      <c r="H681" s="5">
        <v>1399</v>
      </c>
      <c r="I681" s="5" t="s">
        <v>209</v>
      </c>
      <c r="J681" s="5" t="s">
        <v>150</v>
      </c>
      <c r="K681" s="5">
        <v>4.3</v>
      </c>
      <c r="L681" s="5">
        <v>876</v>
      </c>
      <c r="M681" s="5">
        <v>0.5</v>
      </c>
      <c r="N681" s="5">
        <v>1138.6340612208289</v>
      </c>
      <c r="O681" s="5">
        <v>699</v>
      </c>
      <c r="P681" s="5" t="s">
        <v>150</v>
      </c>
      <c r="Q681" s="5" t="s">
        <v>57</v>
      </c>
      <c r="R681" s="5" t="s">
        <v>129</v>
      </c>
      <c r="S681" s="7" t="s">
        <v>980</v>
      </c>
    </row>
    <row r="682" spans="1:19" x14ac:dyDescent="0.35">
      <c r="A682" s="6">
        <v>10617856</v>
      </c>
      <c r="B682" s="5" t="s">
        <v>250</v>
      </c>
      <c r="C682" s="5" t="s">
        <v>142</v>
      </c>
      <c r="D682" s="5" t="s">
        <v>493</v>
      </c>
      <c r="E682" s="5" t="s">
        <v>140</v>
      </c>
      <c r="F682" s="5" t="s">
        <v>977</v>
      </c>
      <c r="G682" s="5"/>
      <c r="H682" s="5">
        <v>3099</v>
      </c>
      <c r="I682" s="5"/>
      <c r="J682" s="5" t="s">
        <v>391</v>
      </c>
      <c r="K682" s="5">
        <v>4.3</v>
      </c>
      <c r="L682" s="5">
        <v>876</v>
      </c>
      <c r="M682" s="5"/>
      <c r="N682" s="5">
        <v>1138.6340612208289</v>
      </c>
      <c r="O682" s="5">
        <v>1138.6340612208289</v>
      </c>
      <c r="P682" s="5" t="s">
        <v>391</v>
      </c>
      <c r="Q682" s="5" t="s">
        <v>57</v>
      </c>
      <c r="R682" s="5" t="s">
        <v>129</v>
      </c>
      <c r="S682" s="7" t="s">
        <v>978</v>
      </c>
    </row>
    <row r="683" spans="1:19" x14ac:dyDescent="0.35">
      <c r="A683" s="6">
        <v>17383122</v>
      </c>
      <c r="B683" s="5" t="s">
        <v>250</v>
      </c>
      <c r="C683" s="5" t="s">
        <v>163</v>
      </c>
      <c r="D683" s="5" t="s">
        <v>77</v>
      </c>
      <c r="E683" s="5" t="s">
        <v>133</v>
      </c>
      <c r="F683" s="5" t="s">
        <v>975</v>
      </c>
      <c r="G683" s="5"/>
      <c r="H683" s="5">
        <v>1498</v>
      </c>
      <c r="I683" s="5" t="s">
        <v>209</v>
      </c>
      <c r="J683" s="5" t="s">
        <v>255</v>
      </c>
      <c r="K683" s="5">
        <v>4.4000000000000004</v>
      </c>
      <c r="L683" s="5">
        <v>876</v>
      </c>
      <c r="M683" s="5">
        <v>0.5</v>
      </c>
      <c r="N683" s="5">
        <v>1790.0851063829789</v>
      </c>
      <c r="O683" s="5"/>
      <c r="P683" s="5" t="s">
        <v>255</v>
      </c>
      <c r="Q683" s="5" t="s">
        <v>57</v>
      </c>
      <c r="R683" s="5" t="s">
        <v>129</v>
      </c>
      <c r="S683" s="7" t="s">
        <v>976</v>
      </c>
    </row>
    <row r="684" spans="1:19" x14ac:dyDescent="0.35">
      <c r="A684" s="6">
        <v>17381986</v>
      </c>
      <c r="B684" s="5" t="s">
        <v>250</v>
      </c>
      <c r="C684" s="5" t="s">
        <v>163</v>
      </c>
      <c r="D684" s="5" t="s">
        <v>77</v>
      </c>
      <c r="E684" s="5" t="s">
        <v>133</v>
      </c>
      <c r="F684" s="5" t="s">
        <v>791</v>
      </c>
      <c r="G684" s="5"/>
      <c r="H684" s="5">
        <v>1598</v>
      </c>
      <c r="I684" s="5" t="s">
        <v>209</v>
      </c>
      <c r="J684" s="5" t="s">
        <v>192</v>
      </c>
      <c r="K684" s="5">
        <v>4.0999999999999996</v>
      </c>
      <c r="L684" s="5">
        <v>876</v>
      </c>
      <c r="M684" s="5">
        <v>0.5</v>
      </c>
      <c r="N684" s="5">
        <v>1790.0851063829789</v>
      </c>
      <c r="O684" s="5"/>
      <c r="P684" s="5" t="s">
        <v>192</v>
      </c>
      <c r="Q684" s="5" t="s">
        <v>57</v>
      </c>
      <c r="R684" s="5" t="s">
        <v>129</v>
      </c>
      <c r="S684" s="7" t="s">
        <v>974</v>
      </c>
    </row>
    <row r="685" spans="1:19" x14ac:dyDescent="0.35">
      <c r="A685" s="6">
        <v>17383350</v>
      </c>
      <c r="B685" s="5" t="s">
        <v>250</v>
      </c>
      <c r="C685" s="5" t="s">
        <v>163</v>
      </c>
      <c r="D685" s="5" t="s">
        <v>77</v>
      </c>
      <c r="E685" s="5" t="s">
        <v>133</v>
      </c>
      <c r="F685" s="5" t="s">
        <v>972</v>
      </c>
      <c r="G685" s="5"/>
      <c r="H685" s="5">
        <v>1598</v>
      </c>
      <c r="I685" s="5" t="s">
        <v>209</v>
      </c>
      <c r="J685" s="5" t="s">
        <v>255</v>
      </c>
      <c r="K685" s="5">
        <v>4.0999999999999996</v>
      </c>
      <c r="L685" s="5">
        <v>876</v>
      </c>
      <c r="M685" s="5">
        <v>0.5</v>
      </c>
      <c r="N685" s="5">
        <v>1790.0851063829789</v>
      </c>
      <c r="O685" s="5"/>
      <c r="P685" s="5" t="s">
        <v>255</v>
      </c>
      <c r="Q685" s="5" t="s">
        <v>57</v>
      </c>
      <c r="R685" s="5" t="s">
        <v>129</v>
      </c>
      <c r="S685" s="7" t="s">
        <v>973</v>
      </c>
    </row>
    <row r="686" spans="1:19" x14ac:dyDescent="0.35">
      <c r="A686" s="6">
        <v>13234824</v>
      </c>
      <c r="B686" s="5" t="s">
        <v>970</v>
      </c>
      <c r="C686" s="5" t="s">
        <v>163</v>
      </c>
      <c r="D686" s="5" t="s">
        <v>188</v>
      </c>
      <c r="E686" s="5" t="s">
        <v>133</v>
      </c>
      <c r="F686" s="5" t="s">
        <v>969</v>
      </c>
      <c r="G686" s="5"/>
      <c r="H686" s="5">
        <v>999</v>
      </c>
      <c r="I686" s="5" t="s">
        <v>36</v>
      </c>
      <c r="J686" s="5" t="s">
        <v>159</v>
      </c>
      <c r="K686" s="5">
        <v>4.3</v>
      </c>
      <c r="L686" s="5">
        <v>876</v>
      </c>
      <c r="M686" s="5">
        <v>0.45</v>
      </c>
      <c r="N686" s="5">
        <v>1790.0851063829789</v>
      </c>
      <c r="O686" s="5"/>
      <c r="P686" s="5" t="s">
        <v>159</v>
      </c>
      <c r="Q686" s="5" t="s">
        <v>57</v>
      </c>
      <c r="R686" s="5" t="s">
        <v>129</v>
      </c>
      <c r="S686" s="7" t="s">
        <v>971</v>
      </c>
    </row>
    <row r="687" spans="1:19" x14ac:dyDescent="0.35">
      <c r="A687" s="6">
        <v>9445631</v>
      </c>
      <c r="B687" s="5" t="s">
        <v>152</v>
      </c>
      <c r="C687" s="5" t="s">
        <v>75</v>
      </c>
      <c r="D687" s="5" t="s">
        <v>215</v>
      </c>
      <c r="E687" s="5" t="s">
        <v>140</v>
      </c>
      <c r="F687" s="5" t="s">
        <v>967</v>
      </c>
      <c r="G687" s="5">
        <v>594</v>
      </c>
      <c r="H687" s="5">
        <v>1699</v>
      </c>
      <c r="I687" s="5" t="s">
        <v>197</v>
      </c>
      <c r="J687" s="5" t="s">
        <v>150</v>
      </c>
      <c r="K687" s="5">
        <v>4.2</v>
      </c>
      <c r="L687" s="5">
        <v>875</v>
      </c>
      <c r="M687" s="5">
        <v>0.65</v>
      </c>
      <c r="N687" s="5">
        <v>1097.3783736315199</v>
      </c>
      <c r="O687" s="5">
        <v>594</v>
      </c>
      <c r="P687" s="5" t="s">
        <v>150</v>
      </c>
      <c r="Q687" s="5" t="s">
        <v>55</v>
      </c>
      <c r="R687" s="5" t="s">
        <v>129</v>
      </c>
      <c r="S687" s="7" t="s">
        <v>968</v>
      </c>
    </row>
    <row r="688" spans="1:19" x14ac:dyDescent="0.35">
      <c r="A688" s="6">
        <v>10863420</v>
      </c>
      <c r="B688" s="5" t="s">
        <v>190</v>
      </c>
      <c r="C688" s="5" t="s">
        <v>142</v>
      </c>
      <c r="D688" s="5" t="s">
        <v>141</v>
      </c>
      <c r="E688" s="5" t="s">
        <v>140</v>
      </c>
      <c r="F688" s="5" t="s">
        <v>965</v>
      </c>
      <c r="G688" s="5">
        <v>582</v>
      </c>
      <c r="H688" s="5">
        <v>1099</v>
      </c>
      <c r="I688" s="5" t="s">
        <v>817</v>
      </c>
      <c r="J688" s="5" t="s">
        <v>145</v>
      </c>
      <c r="K688" s="5">
        <v>4.2</v>
      </c>
      <c r="L688" s="5">
        <v>875</v>
      </c>
      <c r="M688" s="5">
        <v>0.47</v>
      </c>
      <c r="N688" s="5">
        <v>1138.6340612208289</v>
      </c>
      <c r="O688" s="5">
        <v>582</v>
      </c>
      <c r="P688" s="5" t="s">
        <v>145</v>
      </c>
      <c r="Q688" s="5" t="s">
        <v>57</v>
      </c>
      <c r="R688" s="5" t="s">
        <v>129</v>
      </c>
      <c r="S688" s="7" t="s">
        <v>966</v>
      </c>
    </row>
    <row r="689" spans="1:19" x14ac:dyDescent="0.35">
      <c r="A689" s="6">
        <v>14304560</v>
      </c>
      <c r="B689" s="5" t="s">
        <v>482</v>
      </c>
      <c r="C689" s="5" t="s">
        <v>142</v>
      </c>
      <c r="D689" s="5" t="s">
        <v>77</v>
      </c>
      <c r="E689" s="5" t="s">
        <v>140</v>
      </c>
      <c r="F689" s="5" t="s">
        <v>963</v>
      </c>
      <c r="G689" s="5">
        <v>719</v>
      </c>
      <c r="H689" s="5">
        <v>1199</v>
      </c>
      <c r="I689" s="5" t="s">
        <v>131</v>
      </c>
      <c r="J689" s="5" t="s">
        <v>177</v>
      </c>
      <c r="K689" s="5">
        <v>4.3</v>
      </c>
      <c r="L689" s="5">
        <v>875</v>
      </c>
      <c r="M689" s="5">
        <v>0.4</v>
      </c>
      <c r="N689" s="5">
        <v>1138.6340612208289</v>
      </c>
      <c r="O689" s="5">
        <v>719</v>
      </c>
      <c r="P689" s="5" t="s">
        <v>177</v>
      </c>
      <c r="Q689" s="5" t="s">
        <v>57</v>
      </c>
      <c r="R689" s="5" t="s">
        <v>129</v>
      </c>
      <c r="S689" s="7" t="s">
        <v>964</v>
      </c>
    </row>
    <row r="690" spans="1:19" x14ac:dyDescent="0.35">
      <c r="A690" s="6">
        <v>6791220</v>
      </c>
      <c r="B690" s="5" t="s">
        <v>250</v>
      </c>
      <c r="C690" s="5" t="s">
        <v>142</v>
      </c>
      <c r="D690" s="5" t="s">
        <v>141</v>
      </c>
      <c r="E690" s="5" t="s">
        <v>140</v>
      </c>
      <c r="F690" s="5" t="s">
        <v>961</v>
      </c>
      <c r="G690" s="5">
        <v>599</v>
      </c>
      <c r="H690" s="5">
        <v>1499</v>
      </c>
      <c r="I690" s="5" t="s">
        <v>223</v>
      </c>
      <c r="J690" s="5" t="s">
        <v>276</v>
      </c>
      <c r="K690" s="5">
        <v>4.3</v>
      </c>
      <c r="L690" s="5">
        <v>875</v>
      </c>
      <c r="M690" s="5">
        <v>0.6</v>
      </c>
      <c r="N690" s="5">
        <v>1138.6340612208289</v>
      </c>
      <c r="O690" s="5">
        <v>599</v>
      </c>
      <c r="P690" s="5" t="s">
        <v>276</v>
      </c>
      <c r="Q690" s="5" t="s">
        <v>55</v>
      </c>
      <c r="R690" s="5" t="s">
        <v>129</v>
      </c>
      <c r="S690" s="7" t="s">
        <v>962</v>
      </c>
    </row>
    <row r="691" spans="1:19" x14ac:dyDescent="0.35">
      <c r="A691" s="6">
        <v>12748752</v>
      </c>
      <c r="B691" s="5" t="s">
        <v>216</v>
      </c>
      <c r="C691" s="5" t="s">
        <v>142</v>
      </c>
      <c r="D691" s="5" t="s">
        <v>215</v>
      </c>
      <c r="E691" s="5" t="s">
        <v>140</v>
      </c>
      <c r="F691" s="5" t="s">
        <v>959</v>
      </c>
      <c r="G691" s="5">
        <v>730</v>
      </c>
      <c r="H691" s="5">
        <v>1699</v>
      </c>
      <c r="I691" s="5" t="s">
        <v>213</v>
      </c>
      <c r="J691" s="5" t="s">
        <v>212</v>
      </c>
      <c r="K691" s="5">
        <v>4</v>
      </c>
      <c r="L691" s="5">
        <v>875</v>
      </c>
      <c r="M691" s="5">
        <v>0.56999999999999995</v>
      </c>
      <c r="N691" s="5">
        <v>1138.6340612208289</v>
      </c>
      <c r="O691" s="5">
        <v>730</v>
      </c>
      <c r="P691" s="5" t="s">
        <v>212</v>
      </c>
      <c r="Q691" s="5" t="s">
        <v>55</v>
      </c>
      <c r="R691" s="5" t="s">
        <v>129</v>
      </c>
      <c r="S691" s="7" t="s">
        <v>960</v>
      </c>
    </row>
    <row r="692" spans="1:19" x14ac:dyDescent="0.35">
      <c r="A692" s="6">
        <v>11818402</v>
      </c>
      <c r="B692" s="5" t="s">
        <v>883</v>
      </c>
      <c r="C692" s="5" t="s">
        <v>273</v>
      </c>
      <c r="D692" s="5" t="s">
        <v>272</v>
      </c>
      <c r="E692" s="5" t="s">
        <v>133</v>
      </c>
      <c r="F692" s="5" t="s">
        <v>957</v>
      </c>
      <c r="G692" s="5"/>
      <c r="H692" s="5">
        <v>729</v>
      </c>
      <c r="I692" s="5"/>
      <c r="J692" s="5" t="s">
        <v>327</v>
      </c>
      <c r="K692" s="5">
        <v>4.4000000000000004</v>
      </c>
      <c r="L692" s="5">
        <v>875</v>
      </c>
      <c r="M692" s="5"/>
      <c r="N692" s="5">
        <v>811.90284167198604</v>
      </c>
      <c r="O692" s="5">
        <v>811.90284167198604</v>
      </c>
      <c r="P692" s="5" t="s">
        <v>327</v>
      </c>
      <c r="Q692" s="5" t="s">
        <v>57</v>
      </c>
      <c r="R692" s="5" t="s">
        <v>129</v>
      </c>
      <c r="S692" s="7" t="s">
        <v>958</v>
      </c>
    </row>
    <row r="693" spans="1:19" x14ac:dyDescent="0.35">
      <c r="A693" s="6">
        <v>10778702</v>
      </c>
      <c r="B693" s="5" t="s">
        <v>250</v>
      </c>
      <c r="C693" s="5" t="s">
        <v>163</v>
      </c>
      <c r="D693" s="5" t="s">
        <v>77</v>
      </c>
      <c r="E693" s="5" t="s">
        <v>133</v>
      </c>
      <c r="F693" s="5" t="s">
        <v>955</v>
      </c>
      <c r="G693" s="5"/>
      <c r="H693" s="5">
        <v>499</v>
      </c>
      <c r="I693" s="5" t="s">
        <v>131</v>
      </c>
      <c r="J693" s="5" t="s">
        <v>192</v>
      </c>
      <c r="K693" s="5">
        <v>4.2</v>
      </c>
      <c r="L693" s="5">
        <v>875</v>
      </c>
      <c r="M693" s="5">
        <v>0.4</v>
      </c>
      <c r="N693" s="5">
        <v>1790.0851063829789</v>
      </c>
      <c r="O693" s="5"/>
      <c r="P693" s="5" t="s">
        <v>192</v>
      </c>
      <c r="Q693" s="5" t="s">
        <v>57</v>
      </c>
      <c r="R693" s="5" t="s">
        <v>129</v>
      </c>
      <c r="S693" s="7" t="s">
        <v>956</v>
      </c>
    </row>
    <row r="694" spans="1:19" x14ac:dyDescent="0.35">
      <c r="A694" s="6">
        <v>1758525</v>
      </c>
      <c r="B694" s="5" t="s">
        <v>183</v>
      </c>
      <c r="C694" s="5" t="s">
        <v>189</v>
      </c>
      <c r="D694" s="5" t="s">
        <v>162</v>
      </c>
      <c r="E694" s="5" t="s">
        <v>140</v>
      </c>
      <c r="F694" s="5" t="s">
        <v>953</v>
      </c>
      <c r="G694" s="5">
        <v>1499</v>
      </c>
      <c r="H694" s="5">
        <v>2999</v>
      </c>
      <c r="I694" s="5" t="s">
        <v>209</v>
      </c>
      <c r="J694" s="5" t="s">
        <v>502</v>
      </c>
      <c r="K694" s="5">
        <v>4.0999999999999996</v>
      </c>
      <c r="L694" s="5">
        <v>874</v>
      </c>
      <c r="M694" s="5">
        <v>0.5</v>
      </c>
      <c r="N694" s="5">
        <v>1351.2078667815099</v>
      </c>
      <c r="O694" s="5">
        <v>1499</v>
      </c>
      <c r="P694" s="5" t="s">
        <v>502</v>
      </c>
      <c r="Q694" s="5" t="s">
        <v>57</v>
      </c>
      <c r="R694" s="5" t="s">
        <v>129</v>
      </c>
      <c r="S694" s="7" t="s">
        <v>954</v>
      </c>
    </row>
    <row r="695" spans="1:19" x14ac:dyDescent="0.35">
      <c r="A695" s="6">
        <v>3082390</v>
      </c>
      <c r="B695" s="5" t="s">
        <v>225</v>
      </c>
      <c r="C695" s="5" t="s">
        <v>142</v>
      </c>
      <c r="D695" s="5" t="s">
        <v>77</v>
      </c>
      <c r="E695" s="5" t="s">
        <v>140</v>
      </c>
      <c r="F695" s="5" t="s">
        <v>951</v>
      </c>
      <c r="G695" s="5">
        <v>339</v>
      </c>
      <c r="H695" s="5">
        <v>849</v>
      </c>
      <c r="I695" s="5" t="s">
        <v>223</v>
      </c>
      <c r="J695" s="5" t="s">
        <v>212</v>
      </c>
      <c r="K695" s="5">
        <v>4.0999999999999996</v>
      </c>
      <c r="L695" s="5">
        <v>874</v>
      </c>
      <c r="M695" s="5">
        <v>0.6</v>
      </c>
      <c r="N695" s="5">
        <v>1138.6340612208289</v>
      </c>
      <c r="O695" s="5">
        <v>339</v>
      </c>
      <c r="P695" s="5" t="s">
        <v>212</v>
      </c>
      <c r="Q695" s="5" t="s">
        <v>55</v>
      </c>
      <c r="R695" s="5" t="s">
        <v>129</v>
      </c>
      <c r="S695" s="7" t="s">
        <v>952</v>
      </c>
    </row>
    <row r="696" spans="1:19" x14ac:dyDescent="0.35">
      <c r="A696" s="6">
        <v>11349910</v>
      </c>
      <c r="B696" s="5" t="s">
        <v>949</v>
      </c>
      <c r="C696" s="5" t="s">
        <v>135</v>
      </c>
      <c r="D696" s="5" t="s">
        <v>228</v>
      </c>
      <c r="E696" s="5" t="s">
        <v>133</v>
      </c>
      <c r="F696" s="5" t="s">
        <v>948</v>
      </c>
      <c r="G696" s="5">
        <v>849</v>
      </c>
      <c r="H696" s="5">
        <v>1699</v>
      </c>
      <c r="I696" s="5" t="s">
        <v>209</v>
      </c>
      <c r="J696" s="5" t="s">
        <v>196</v>
      </c>
      <c r="K696" s="5">
        <v>4.2</v>
      </c>
      <c r="L696" s="5">
        <v>874</v>
      </c>
      <c r="M696" s="5">
        <v>0.5</v>
      </c>
      <c r="N696" s="5">
        <v>1493.337491012077</v>
      </c>
      <c r="O696" s="5">
        <v>849</v>
      </c>
      <c r="P696" s="5" t="s">
        <v>196</v>
      </c>
      <c r="Q696" s="5" t="s">
        <v>57</v>
      </c>
      <c r="R696" s="5" t="s">
        <v>129</v>
      </c>
      <c r="S696" s="7" t="s">
        <v>950</v>
      </c>
    </row>
    <row r="697" spans="1:19" x14ac:dyDescent="0.35">
      <c r="A697" s="6">
        <v>11749988</v>
      </c>
      <c r="B697" s="5" t="s">
        <v>203</v>
      </c>
      <c r="C697" s="5" t="s">
        <v>135</v>
      </c>
      <c r="D697" s="5" t="s">
        <v>174</v>
      </c>
      <c r="E697" s="5" t="s">
        <v>133</v>
      </c>
      <c r="F697" s="5" t="s">
        <v>946</v>
      </c>
      <c r="G697" s="5">
        <v>1499</v>
      </c>
      <c r="H697" s="5">
        <v>4999</v>
      </c>
      <c r="I697" s="5" t="s">
        <v>283</v>
      </c>
      <c r="J697" s="5" t="s">
        <v>171</v>
      </c>
      <c r="K697" s="5">
        <v>4.4000000000000004</v>
      </c>
      <c r="L697" s="5">
        <v>874</v>
      </c>
      <c r="M697" s="5">
        <v>0.7</v>
      </c>
      <c r="N697" s="5">
        <v>1493.337491012077</v>
      </c>
      <c r="O697" s="5">
        <v>1499</v>
      </c>
      <c r="P697" s="5" t="s">
        <v>171</v>
      </c>
      <c r="Q697" s="5" t="s">
        <v>55</v>
      </c>
      <c r="R697" s="5" t="s">
        <v>129</v>
      </c>
      <c r="S697" s="7" t="s">
        <v>947</v>
      </c>
    </row>
    <row r="698" spans="1:19" x14ac:dyDescent="0.35">
      <c r="A698" s="6">
        <v>1380188</v>
      </c>
      <c r="B698" s="5" t="s">
        <v>190</v>
      </c>
      <c r="C698" s="5" t="s">
        <v>189</v>
      </c>
      <c r="D698" s="5" t="s">
        <v>188</v>
      </c>
      <c r="E698" s="5" t="s">
        <v>140</v>
      </c>
      <c r="F698" s="5" t="s">
        <v>944</v>
      </c>
      <c r="G698" s="5">
        <v>599</v>
      </c>
      <c r="H698" s="5">
        <v>999</v>
      </c>
      <c r="I698" s="5" t="s">
        <v>131</v>
      </c>
      <c r="J698" s="5" t="s">
        <v>380</v>
      </c>
      <c r="K698" s="5">
        <v>4.0999999999999996</v>
      </c>
      <c r="L698" s="5">
        <v>873</v>
      </c>
      <c r="M698" s="5">
        <v>0.4</v>
      </c>
      <c r="N698" s="5">
        <v>1351.2078667815099</v>
      </c>
      <c r="O698" s="5">
        <v>599</v>
      </c>
      <c r="P698" s="5" t="s">
        <v>380</v>
      </c>
      <c r="Q698" s="5" t="s">
        <v>57</v>
      </c>
      <c r="R698" s="5" t="s">
        <v>129</v>
      </c>
      <c r="S698" s="7" t="s">
        <v>945</v>
      </c>
    </row>
    <row r="699" spans="1:19" x14ac:dyDescent="0.35">
      <c r="A699" s="6">
        <v>10906454</v>
      </c>
      <c r="B699" s="5" t="s">
        <v>443</v>
      </c>
      <c r="C699" s="5" t="s">
        <v>156</v>
      </c>
      <c r="D699" s="5" t="s">
        <v>442</v>
      </c>
      <c r="E699" s="5" t="s">
        <v>140</v>
      </c>
      <c r="F699" s="5" t="s">
        <v>942</v>
      </c>
      <c r="G699" s="5"/>
      <c r="H699" s="5">
        <v>349</v>
      </c>
      <c r="I699" s="5"/>
      <c r="J699" s="5" t="s">
        <v>352</v>
      </c>
      <c r="K699" s="5">
        <v>4.5999999999999996</v>
      </c>
      <c r="L699" s="5">
        <v>873</v>
      </c>
      <c r="M699" s="5"/>
      <c r="N699" s="5">
        <v>691.83976143141149</v>
      </c>
      <c r="O699" s="5">
        <v>691.83976143141149</v>
      </c>
      <c r="P699" s="5" t="s">
        <v>352</v>
      </c>
      <c r="Q699" s="5" t="s">
        <v>57</v>
      </c>
      <c r="R699" s="5" t="s">
        <v>129</v>
      </c>
      <c r="S699" s="7" t="s">
        <v>943</v>
      </c>
    </row>
    <row r="700" spans="1:19" x14ac:dyDescent="0.35">
      <c r="A700" s="6">
        <v>11348390</v>
      </c>
      <c r="B700" s="5" t="s">
        <v>938</v>
      </c>
      <c r="C700" s="5" t="s">
        <v>163</v>
      </c>
      <c r="D700" s="5" t="s">
        <v>228</v>
      </c>
      <c r="E700" s="5" t="s">
        <v>133</v>
      </c>
      <c r="F700" s="5" t="s">
        <v>940</v>
      </c>
      <c r="G700" s="5"/>
      <c r="H700" s="5">
        <v>1399</v>
      </c>
      <c r="I700" s="5" t="s">
        <v>209</v>
      </c>
      <c r="J700" s="5" t="s">
        <v>196</v>
      </c>
      <c r="K700" s="5">
        <v>4.0999999999999996</v>
      </c>
      <c r="L700" s="5">
        <v>873</v>
      </c>
      <c r="M700" s="5">
        <v>0.5</v>
      </c>
      <c r="N700" s="5">
        <v>1790.0851063829789</v>
      </c>
      <c r="O700" s="5"/>
      <c r="P700" s="5" t="s">
        <v>196</v>
      </c>
      <c r="Q700" s="5" t="s">
        <v>57</v>
      </c>
      <c r="R700" s="5" t="s">
        <v>129</v>
      </c>
      <c r="S700" s="7" t="s">
        <v>941</v>
      </c>
    </row>
    <row r="701" spans="1:19" x14ac:dyDescent="0.35">
      <c r="A701" s="6">
        <v>11535972</v>
      </c>
      <c r="B701" s="5" t="s">
        <v>938</v>
      </c>
      <c r="C701" s="5" t="s">
        <v>163</v>
      </c>
      <c r="D701" s="5" t="s">
        <v>228</v>
      </c>
      <c r="E701" s="5" t="s">
        <v>133</v>
      </c>
      <c r="F701" s="5" t="s">
        <v>937</v>
      </c>
      <c r="G701" s="5"/>
      <c r="H701" s="5">
        <v>1699</v>
      </c>
      <c r="I701" s="5" t="s">
        <v>283</v>
      </c>
      <c r="J701" s="5" t="s">
        <v>196</v>
      </c>
      <c r="K701" s="5">
        <v>4.0999999999999996</v>
      </c>
      <c r="L701" s="5">
        <v>873</v>
      </c>
      <c r="M701" s="5">
        <v>0.7</v>
      </c>
      <c r="N701" s="5">
        <v>1790.0851063829789</v>
      </c>
      <c r="O701" s="5"/>
      <c r="P701" s="5" t="s">
        <v>196</v>
      </c>
      <c r="Q701" s="5" t="s">
        <v>55</v>
      </c>
      <c r="R701" s="5" t="s">
        <v>129</v>
      </c>
      <c r="S701" s="7" t="s">
        <v>939</v>
      </c>
    </row>
    <row r="702" spans="1:19" x14ac:dyDescent="0.35">
      <c r="A702" s="6">
        <v>11538394</v>
      </c>
      <c r="B702" s="5" t="s">
        <v>164</v>
      </c>
      <c r="C702" s="5" t="s">
        <v>163</v>
      </c>
      <c r="D702" s="5" t="s">
        <v>162</v>
      </c>
      <c r="E702" s="5" t="s">
        <v>133</v>
      </c>
      <c r="F702" s="5" t="s">
        <v>935</v>
      </c>
      <c r="G702" s="5"/>
      <c r="H702" s="5">
        <v>1899</v>
      </c>
      <c r="I702" s="5" t="s">
        <v>371</v>
      </c>
      <c r="J702" s="5" t="s">
        <v>505</v>
      </c>
      <c r="K702" s="5">
        <v>4.2</v>
      </c>
      <c r="L702" s="5">
        <v>873</v>
      </c>
      <c r="M702" s="5">
        <v>0.48</v>
      </c>
      <c r="N702" s="5">
        <v>1790.0851063829789</v>
      </c>
      <c r="O702" s="5"/>
      <c r="P702" s="5" t="s">
        <v>505</v>
      </c>
      <c r="Q702" s="5" t="s">
        <v>57</v>
      </c>
      <c r="R702" s="5" t="s">
        <v>129</v>
      </c>
      <c r="S702" s="7" t="s">
        <v>936</v>
      </c>
    </row>
    <row r="703" spans="1:19" x14ac:dyDescent="0.35">
      <c r="A703" s="6">
        <v>12111056</v>
      </c>
      <c r="B703" s="5" t="s">
        <v>164</v>
      </c>
      <c r="C703" s="5" t="s">
        <v>163</v>
      </c>
      <c r="D703" s="5" t="s">
        <v>194</v>
      </c>
      <c r="E703" s="5" t="s">
        <v>133</v>
      </c>
      <c r="F703" s="5" t="s">
        <v>933</v>
      </c>
      <c r="G703" s="5"/>
      <c r="H703" s="5">
        <v>999</v>
      </c>
      <c r="I703" s="5" t="s">
        <v>932</v>
      </c>
      <c r="J703" s="5" t="s">
        <v>212</v>
      </c>
      <c r="K703" s="5">
        <v>4.2</v>
      </c>
      <c r="L703" s="5">
        <v>873</v>
      </c>
      <c r="M703" s="5">
        <v>0.54</v>
      </c>
      <c r="N703" s="5">
        <v>1790.0851063829789</v>
      </c>
      <c r="O703" s="5"/>
      <c r="P703" s="5" t="s">
        <v>212</v>
      </c>
      <c r="Q703" s="5" t="s">
        <v>55</v>
      </c>
      <c r="R703" s="5" t="s">
        <v>129</v>
      </c>
      <c r="S703" s="7" t="s">
        <v>934</v>
      </c>
    </row>
    <row r="704" spans="1:19" x14ac:dyDescent="0.35">
      <c r="A704" s="6">
        <v>2031938</v>
      </c>
      <c r="B704" s="5" t="s">
        <v>703</v>
      </c>
      <c r="C704" s="5" t="s">
        <v>142</v>
      </c>
      <c r="D704" s="5" t="s">
        <v>141</v>
      </c>
      <c r="E704" s="5" t="s">
        <v>140</v>
      </c>
      <c r="F704" s="5" t="s">
        <v>930</v>
      </c>
      <c r="G704" s="5">
        <v>989</v>
      </c>
      <c r="H704" s="5">
        <v>1799</v>
      </c>
      <c r="I704" s="5" t="s">
        <v>36</v>
      </c>
      <c r="J704" s="5" t="s">
        <v>701</v>
      </c>
      <c r="K704" s="5">
        <v>4.4000000000000004</v>
      </c>
      <c r="L704" s="5">
        <v>872</v>
      </c>
      <c r="M704" s="5">
        <v>0.45</v>
      </c>
      <c r="N704" s="5">
        <v>1138.6340612208289</v>
      </c>
      <c r="O704" s="5">
        <v>989</v>
      </c>
      <c r="P704" s="5" t="s">
        <v>701</v>
      </c>
      <c r="Q704" s="5" t="s">
        <v>57</v>
      </c>
      <c r="R704" s="5" t="s">
        <v>129</v>
      </c>
      <c r="S704" s="7" t="s">
        <v>931</v>
      </c>
    </row>
    <row r="705" spans="1:19" x14ac:dyDescent="0.35">
      <c r="A705" s="6">
        <v>17382822</v>
      </c>
      <c r="B705" s="5" t="s">
        <v>250</v>
      </c>
      <c r="C705" s="5" t="s">
        <v>163</v>
      </c>
      <c r="D705" s="5" t="s">
        <v>77</v>
      </c>
      <c r="E705" s="5" t="s">
        <v>133</v>
      </c>
      <c r="F705" s="5" t="s">
        <v>928</v>
      </c>
      <c r="G705" s="5"/>
      <c r="H705" s="5">
        <v>1498</v>
      </c>
      <c r="I705" s="5" t="s">
        <v>209</v>
      </c>
      <c r="J705" s="5" t="s">
        <v>255</v>
      </c>
      <c r="K705" s="5">
        <v>4.3</v>
      </c>
      <c r="L705" s="5">
        <v>872</v>
      </c>
      <c r="M705" s="5">
        <v>0.5</v>
      </c>
      <c r="N705" s="5">
        <v>1790.0851063829789</v>
      </c>
      <c r="O705" s="5"/>
      <c r="P705" s="5" t="s">
        <v>255</v>
      </c>
      <c r="Q705" s="5" t="s">
        <v>57</v>
      </c>
      <c r="R705" s="5" t="s">
        <v>129</v>
      </c>
      <c r="S705" s="7" t="s">
        <v>929</v>
      </c>
    </row>
    <row r="706" spans="1:19" x14ac:dyDescent="0.35">
      <c r="A706" s="6">
        <v>11024458</v>
      </c>
      <c r="B706" s="5" t="s">
        <v>540</v>
      </c>
      <c r="C706" s="5" t="s">
        <v>163</v>
      </c>
      <c r="D706" s="5" t="s">
        <v>228</v>
      </c>
      <c r="E706" s="5" t="s">
        <v>133</v>
      </c>
      <c r="F706" s="5" t="s">
        <v>926</v>
      </c>
      <c r="G706" s="5"/>
      <c r="H706" s="5">
        <v>2099</v>
      </c>
      <c r="I706" s="5" t="s">
        <v>209</v>
      </c>
      <c r="J706" s="5" t="s">
        <v>196</v>
      </c>
      <c r="K706" s="5">
        <v>4.5</v>
      </c>
      <c r="L706" s="5">
        <v>872</v>
      </c>
      <c r="M706" s="5">
        <v>0.5</v>
      </c>
      <c r="N706" s="5">
        <v>1790.0851063829789</v>
      </c>
      <c r="O706" s="5"/>
      <c r="P706" s="5" t="s">
        <v>196</v>
      </c>
      <c r="Q706" s="5" t="s">
        <v>57</v>
      </c>
      <c r="R706" s="5" t="s">
        <v>129</v>
      </c>
      <c r="S706" s="7" t="s">
        <v>927</v>
      </c>
    </row>
    <row r="707" spans="1:19" x14ac:dyDescent="0.35">
      <c r="A707" s="6">
        <v>2310135</v>
      </c>
      <c r="B707" s="5" t="s">
        <v>225</v>
      </c>
      <c r="C707" s="5" t="s">
        <v>142</v>
      </c>
      <c r="D707" s="5" t="s">
        <v>141</v>
      </c>
      <c r="E707" s="5" t="s">
        <v>140</v>
      </c>
      <c r="F707" s="5" t="s">
        <v>924</v>
      </c>
      <c r="G707" s="5">
        <v>1159</v>
      </c>
      <c r="H707" s="5">
        <v>2899</v>
      </c>
      <c r="I707" s="5" t="s">
        <v>223</v>
      </c>
      <c r="J707" s="5" t="s">
        <v>348</v>
      </c>
      <c r="K707" s="5">
        <v>4.0999999999999996</v>
      </c>
      <c r="L707" s="5">
        <v>871</v>
      </c>
      <c r="M707" s="5">
        <v>0.6</v>
      </c>
      <c r="N707" s="5">
        <v>1138.6340612208289</v>
      </c>
      <c r="O707" s="5">
        <v>1159</v>
      </c>
      <c r="P707" s="5" t="s">
        <v>348</v>
      </c>
      <c r="Q707" s="5" t="s">
        <v>55</v>
      </c>
      <c r="R707" s="5" t="s">
        <v>129</v>
      </c>
      <c r="S707" s="7" t="s">
        <v>925</v>
      </c>
    </row>
    <row r="708" spans="1:19" x14ac:dyDescent="0.35">
      <c r="A708" s="6">
        <v>17381404</v>
      </c>
      <c r="B708" s="5" t="s">
        <v>250</v>
      </c>
      <c r="C708" s="5" t="s">
        <v>163</v>
      </c>
      <c r="D708" s="5" t="s">
        <v>77</v>
      </c>
      <c r="E708" s="5" t="s">
        <v>133</v>
      </c>
      <c r="F708" s="5" t="s">
        <v>791</v>
      </c>
      <c r="G708" s="5"/>
      <c r="H708" s="5">
        <v>1198</v>
      </c>
      <c r="I708" s="5" t="s">
        <v>209</v>
      </c>
      <c r="J708" s="5" t="s">
        <v>192</v>
      </c>
      <c r="K708" s="5">
        <v>4.3</v>
      </c>
      <c r="L708" s="5">
        <v>871</v>
      </c>
      <c r="M708" s="5">
        <v>0.5</v>
      </c>
      <c r="N708" s="5">
        <v>1790.0851063829789</v>
      </c>
      <c r="O708" s="5"/>
      <c r="P708" s="5" t="s">
        <v>192</v>
      </c>
      <c r="Q708" s="5" t="s">
        <v>57</v>
      </c>
      <c r="R708" s="5" t="s">
        <v>129</v>
      </c>
      <c r="S708" s="7" t="s">
        <v>923</v>
      </c>
    </row>
    <row r="709" spans="1:19" x14ac:dyDescent="0.35">
      <c r="A709" s="6">
        <v>9410705</v>
      </c>
      <c r="B709" s="5" t="s">
        <v>522</v>
      </c>
      <c r="C709" s="5" t="s">
        <v>163</v>
      </c>
      <c r="D709" s="5" t="s">
        <v>141</v>
      </c>
      <c r="E709" s="5" t="s">
        <v>133</v>
      </c>
      <c r="F709" s="5" t="s">
        <v>921</v>
      </c>
      <c r="G709" s="5"/>
      <c r="H709" s="5">
        <v>1599</v>
      </c>
      <c r="I709" s="5" t="s">
        <v>131</v>
      </c>
      <c r="J709" s="5" t="s">
        <v>212</v>
      </c>
      <c r="K709" s="5">
        <v>3.7</v>
      </c>
      <c r="L709" s="5">
        <v>871</v>
      </c>
      <c r="M709" s="5">
        <v>0.4</v>
      </c>
      <c r="N709" s="5">
        <v>1790.0851063829789</v>
      </c>
      <c r="O709" s="5"/>
      <c r="P709" s="5" t="s">
        <v>212</v>
      </c>
      <c r="Q709" s="5" t="s">
        <v>57</v>
      </c>
      <c r="R709" s="5" t="s">
        <v>129</v>
      </c>
      <c r="S709" s="7" t="s">
        <v>922</v>
      </c>
    </row>
    <row r="710" spans="1:19" x14ac:dyDescent="0.35">
      <c r="A710" s="6">
        <v>9656259</v>
      </c>
      <c r="B710" s="5" t="s">
        <v>250</v>
      </c>
      <c r="C710" s="5" t="s">
        <v>163</v>
      </c>
      <c r="D710" s="5" t="s">
        <v>141</v>
      </c>
      <c r="E710" s="5" t="s">
        <v>133</v>
      </c>
      <c r="F710" s="5" t="s">
        <v>919</v>
      </c>
      <c r="G710" s="5"/>
      <c r="H710" s="5">
        <v>1699</v>
      </c>
      <c r="I710" s="5" t="s">
        <v>131</v>
      </c>
      <c r="J710" s="5" t="s">
        <v>192</v>
      </c>
      <c r="K710" s="5">
        <v>4.3</v>
      </c>
      <c r="L710" s="5">
        <v>871</v>
      </c>
      <c r="M710" s="5">
        <v>0.4</v>
      </c>
      <c r="N710" s="5">
        <v>1790.0851063829789</v>
      </c>
      <c r="O710" s="5"/>
      <c r="P710" s="5" t="s">
        <v>192</v>
      </c>
      <c r="Q710" s="5" t="s">
        <v>57</v>
      </c>
      <c r="R710" s="5" t="s">
        <v>129</v>
      </c>
      <c r="S710" s="7" t="s">
        <v>920</v>
      </c>
    </row>
    <row r="711" spans="1:19" x14ac:dyDescent="0.35">
      <c r="A711" s="6">
        <v>10343531</v>
      </c>
      <c r="B711" s="5" t="s">
        <v>671</v>
      </c>
      <c r="C711" s="5" t="s">
        <v>163</v>
      </c>
      <c r="D711" s="5" t="s">
        <v>162</v>
      </c>
      <c r="E711" s="5" t="s">
        <v>133</v>
      </c>
      <c r="F711" s="5" t="s">
        <v>670</v>
      </c>
      <c r="G711" s="5"/>
      <c r="H711" s="5">
        <v>1799</v>
      </c>
      <c r="I711" s="5" t="s">
        <v>371</v>
      </c>
      <c r="J711" s="5" t="s">
        <v>222</v>
      </c>
      <c r="K711" s="5">
        <v>4.3</v>
      </c>
      <c r="L711" s="5">
        <v>871</v>
      </c>
      <c r="M711" s="5">
        <v>0.48</v>
      </c>
      <c r="N711" s="5">
        <v>1790.0851063829789</v>
      </c>
      <c r="O711" s="5"/>
      <c r="P711" s="5" t="s">
        <v>222</v>
      </c>
      <c r="Q711" s="5" t="s">
        <v>57</v>
      </c>
      <c r="R711" s="5" t="s">
        <v>129</v>
      </c>
      <c r="S711" s="7" t="s">
        <v>918</v>
      </c>
    </row>
    <row r="712" spans="1:19" x14ac:dyDescent="0.35">
      <c r="A712" s="6">
        <v>12991924</v>
      </c>
      <c r="B712" s="5" t="s">
        <v>916</v>
      </c>
      <c r="C712" s="5" t="s">
        <v>189</v>
      </c>
      <c r="D712" s="5" t="s">
        <v>418</v>
      </c>
      <c r="E712" s="5" t="s">
        <v>140</v>
      </c>
      <c r="F712" s="5" t="s">
        <v>915</v>
      </c>
      <c r="G712" s="5">
        <v>359</v>
      </c>
      <c r="H712" s="5">
        <v>499</v>
      </c>
      <c r="I712" s="5" t="s">
        <v>914</v>
      </c>
      <c r="J712" s="5" t="s">
        <v>913</v>
      </c>
      <c r="K712" s="5">
        <v>4.2</v>
      </c>
      <c r="L712" s="5">
        <v>870</v>
      </c>
      <c r="M712" s="5">
        <v>0.28000000000000003</v>
      </c>
      <c r="N712" s="5">
        <v>1351.2078667815099</v>
      </c>
      <c r="O712" s="5">
        <v>359</v>
      </c>
      <c r="P712" s="5" t="s">
        <v>913</v>
      </c>
      <c r="Q712" s="5" t="s">
        <v>57</v>
      </c>
      <c r="R712" s="5" t="s">
        <v>129</v>
      </c>
      <c r="S712" s="7" t="s">
        <v>917</v>
      </c>
    </row>
    <row r="713" spans="1:19" x14ac:dyDescent="0.35">
      <c r="A713" s="6">
        <v>7441137</v>
      </c>
      <c r="B713" s="5" t="s">
        <v>911</v>
      </c>
      <c r="C713" s="5" t="s">
        <v>135</v>
      </c>
      <c r="D713" s="5" t="s">
        <v>168</v>
      </c>
      <c r="E713" s="5" t="s">
        <v>140</v>
      </c>
      <c r="F713" s="5" t="s">
        <v>910</v>
      </c>
      <c r="G713" s="5">
        <v>1979</v>
      </c>
      <c r="H713" s="5">
        <v>2199</v>
      </c>
      <c r="I713" s="5" t="s">
        <v>270</v>
      </c>
      <c r="J713" s="5" t="s">
        <v>150</v>
      </c>
      <c r="K713" s="5">
        <v>4.4000000000000004</v>
      </c>
      <c r="L713" s="5">
        <v>870</v>
      </c>
      <c r="M713" s="5">
        <v>0.1</v>
      </c>
      <c r="N713" s="5">
        <v>1493.337491012077</v>
      </c>
      <c r="O713" s="5">
        <v>1979</v>
      </c>
      <c r="P713" s="5" t="s">
        <v>150</v>
      </c>
      <c r="Q713" s="5" t="s">
        <v>57</v>
      </c>
      <c r="R713" s="5" t="s">
        <v>129</v>
      </c>
      <c r="S713" s="7" t="s">
        <v>912</v>
      </c>
    </row>
    <row r="714" spans="1:19" x14ac:dyDescent="0.35">
      <c r="A714" s="6">
        <v>2077208</v>
      </c>
      <c r="B714" s="5" t="s">
        <v>225</v>
      </c>
      <c r="C714" s="5" t="s">
        <v>142</v>
      </c>
      <c r="D714" s="5" t="s">
        <v>141</v>
      </c>
      <c r="E714" s="5" t="s">
        <v>140</v>
      </c>
      <c r="F714" s="5" t="s">
        <v>908</v>
      </c>
      <c r="G714" s="5">
        <v>1049</v>
      </c>
      <c r="H714" s="5">
        <v>2099</v>
      </c>
      <c r="I714" s="5" t="s">
        <v>209</v>
      </c>
      <c r="J714" s="5" t="s">
        <v>348</v>
      </c>
      <c r="K714" s="5">
        <v>3.8</v>
      </c>
      <c r="L714" s="5">
        <v>870</v>
      </c>
      <c r="M714" s="5">
        <v>0.5</v>
      </c>
      <c r="N714" s="5">
        <v>1138.6340612208289</v>
      </c>
      <c r="O714" s="5">
        <v>1049</v>
      </c>
      <c r="P714" s="5" t="s">
        <v>348</v>
      </c>
      <c r="Q714" s="5" t="s">
        <v>57</v>
      </c>
      <c r="R714" s="5" t="s">
        <v>129</v>
      </c>
      <c r="S714" s="7" t="s">
        <v>909</v>
      </c>
    </row>
    <row r="715" spans="1:19" x14ac:dyDescent="0.35">
      <c r="A715" s="6">
        <v>2221364</v>
      </c>
      <c r="B715" s="5" t="s">
        <v>136</v>
      </c>
      <c r="C715" s="5" t="s">
        <v>142</v>
      </c>
      <c r="D715" s="5" t="s">
        <v>77</v>
      </c>
      <c r="E715" s="5" t="s">
        <v>140</v>
      </c>
      <c r="F715" s="5" t="s">
        <v>906</v>
      </c>
      <c r="G715" s="5">
        <v>359</v>
      </c>
      <c r="H715" s="5">
        <v>899</v>
      </c>
      <c r="I715" s="5" t="s">
        <v>223</v>
      </c>
      <c r="J715" s="5" t="s">
        <v>212</v>
      </c>
      <c r="K715" s="5">
        <v>3.9</v>
      </c>
      <c r="L715" s="5">
        <v>870</v>
      </c>
      <c r="M715" s="5">
        <v>0.6</v>
      </c>
      <c r="N715" s="5">
        <v>1138.6340612208289</v>
      </c>
      <c r="O715" s="5">
        <v>359</v>
      </c>
      <c r="P715" s="5" t="s">
        <v>212</v>
      </c>
      <c r="Q715" s="5" t="s">
        <v>55</v>
      </c>
      <c r="R715" s="5" t="s">
        <v>129</v>
      </c>
      <c r="S715" s="7" t="s">
        <v>907</v>
      </c>
    </row>
    <row r="716" spans="1:19" x14ac:dyDescent="0.35">
      <c r="A716" s="6">
        <v>2077135</v>
      </c>
      <c r="B716" s="5" t="s">
        <v>143</v>
      </c>
      <c r="C716" s="5" t="s">
        <v>235</v>
      </c>
      <c r="D716" s="5" t="s">
        <v>194</v>
      </c>
      <c r="E716" s="5" t="s">
        <v>133</v>
      </c>
      <c r="F716" s="5" t="s">
        <v>904</v>
      </c>
      <c r="G716" s="5">
        <v>419</v>
      </c>
      <c r="H716" s="5">
        <v>1399</v>
      </c>
      <c r="I716" s="5" t="s">
        <v>283</v>
      </c>
      <c r="J716" s="5" t="s">
        <v>196</v>
      </c>
      <c r="K716" s="5">
        <v>3.9</v>
      </c>
      <c r="L716" s="5">
        <v>870</v>
      </c>
      <c r="M716" s="5">
        <v>0.7</v>
      </c>
      <c r="N716" s="5">
        <v>923.69459774582197</v>
      </c>
      <c r="O716" s="5">
        <v>419</v>
      </c>
      <c r="P716" s="5" t="s">
        <v>196</v>
      </c>
      <c r="Q716" s="5" t="s">
        <v>55</v>
      </c>
      <c r="R716" s="5" t="s">
        <v>129</v>
      </c>
      <c r="S716" s="7" t="s">
        <v>905</v>
      </c>
    </row>
    <row r="717" spans="1:19" x14ac:dyDescent="0.35">
      <c r="A717" s="6">
        <v>4704797</v>
      </c>
      <c r="B717" s="5" t="s">
        <v>681</v>
      </c>
      <c r="C717" s="5" t="s">
        <v>235</v>
      </c>
      <c r="D717" s="5" t="s">
        <v>228</v>
      </c>
      <c r="E717" s="5" t="s">
        <v>133</v>
      </c>
      <c r="F717" s="5" t="s">
        <v>902</v>
      </c>
      <c r="G717" s="5">
        <v>924</v>
      </c>
      <c r="H717" s="5">
        <v>2499</v>
      </c>
      <c r="I717" s="5" t="s">
        <v>392</v>
      </c>
      <c r="J717" s="5" t="s">
        <v>150</v>
      </c>
      <c r="K717" s="5">
        <v>4.3</v>
      </c>
      <c r="L717" s="5">
        <v>870</v>
      </c>
      <c r="M717" s="5">
        <v>0.63</v>
      </c>
      <c r="N717" s="5">
        <v>923.69459774582197</v>
      </c>
      <c r="O717" s="5">
        <v>924</v>
      </c>
      <c r="P717" s="5" t="s">
        <v>150</v>
      </c>
      <c r="Q717" s="5" t="s">
        <v>55</v>
      </c>
      <c r="R717" s="5" t="s">
        <v>129</v>
      </c>
      <c r="S717" s="7" t="s">
        <v>903</v>
      </c>
    </row>
    <row r="718" spans="1:19" x14ac:dyDescent="0.35">
      <c r="A718" s="6">
        <v>17524572</v>
      </c>
      <c r="B718" s="5" t="s">
        <v>225</v>
      </c>
      <c r="C718" s="5" t="s">
        <v>163</v>
      </c>
      <c r="D718" s="5" t="s">
        <v>77</v>
      </c>
      <c r="E718" s="5" t="s">
        <v>133</v>
      </c>
      <c r="F718" s="5" t="s">
        <v>258</v>
      </c>
      <c r="G718" s="5"/>
      <c r="H718" s="5">
        <v>1598</v>
      </c>
      <c r="I718" s="5" t="s">
        <v>209</v>
      </c>
      <c r="J718" s="5" t="s">
        <v>323</v>
      </c>
      <c r="K718" s="5">
        <v>4.2</v>
      </c>
      <c r="L718" s="5">
        <v>870</v>
      </c>
      <c r="M718" s="5">
        <v>0.5</v>
      </c>
      <c r="N718" s="5">
        <v>1790.0851063829789</v>
      </c>
      <c r="O718" s="5"/>
      <c r="P718" s="5" t="s">
        <v>323</v>
      </c>
      <c r="Q718" s="5" t="s">
        <v>57</v>
      </c>
      <c r="R718" s="5" t="s">
        <v>129</v>
      </c>
      <c r="S718" s="7" t="s">
        <v>901</v>
      </c>
    </row>
    <row r="719" spans="1:19" x14ac:dyDescent="0.35">
      <c r="A719" s="6">
        <v>17382882</v>
      </c>
      <c r="B719" s="5" t="s">
        <v>250</v>
      </c>
      <c r="C719" s="5" t="s">
        <v>163</v>
      </c>
      <c r="D719" s="5" t="s">
        <v>77</v>
      </c>
      <c r="E719" s="5" t="s">
        <v>133</v>
      </c>
      <c r="F719" s="5" t="s">
        <v>899</v>
      </c>
      <c r="G719" s="5"/>
      <c r="H719" s="5">
        <v>1598</v>
      </c>
      <c r="I719" s="5" t="s">
        <v>209</v>
      </c>
      <c r="J719" s="5" t="s">
        <v>255</v>
      </c>
      <c r="K719" s="5">
        <v>4.3</v>
      </c>
      <c r="L719" s="5">
        <v>870</v>
      </c>
      <c r="M719" s="5">
        <v>0.5</v>
      </c>
      <c r="N719" s="5">
        <v>1790.0851063829789</v>
      </c>
      <c r="O719" s="5"/>
      <c r="P719" s="5" t="s">
        <v>255</v>
      </c>
      <c r="Q719" s="5" t="s">
        <v>57</v>
      </c>
      <c r="R719" s="5" t="s">
        <v>129</v>
      </c>
      <c r="S719" s="7" t="s">
        <v>900</v>
      </c>
    </row>
    <row r="720" spans="1:19" x14ac:dyDescent="0.35">
      <c r="A720" s="6">
        <v>8469261</v>
      </c>
      <c r="B720" s="5" t="s">
        <v>190</v>
      </c>
      <c r="C720" s="5" t="s">
        <v>142</v>
      </c>
      <c r="D720" s="5" t="s">
        <v>141</v>
      </c>
      <c r="E720" s="5" t="s">
        <v>140</v>
      </c>
      <c r="F720" s="5" t="s">
        <v>897</v>
      </c>
      <c r="G720" s="5">
        <v>487</v>
      </c>
      <c r="H720" s="5">
        <v>1249</v>
      </c>
      <c r="I720" s="5" t="s">
        <v>186</v>
      </c>
      <c r="J720" s="5" t="s">
        <v>145</v>
      </c>
      <c r="K720" s="5">
        <v>4.3</v>
      </c>
      <c r="L720" s="5">
        <v>869</v>
      </c>
      <c r="M720" s="5">
        <v>0.61</v>
      </c>
      <c r="N720" s="5">
        <v>1138.6340612208289</v>
      </c>
      <c r="O720" s="5">
        <v>487</v>
      </c>
      <c r="P720" s="5" t="s">
        <v>145</v>
      </c>
      <c r="Q720" s="5" t="s">
        <v>55</v>
      </c>
      <c r="R720" s="5" t="s">
        <v>129</v>
      </c>
      <c r="S720" s="7" t="s">
        <v>898</v>
      </c>
    </row>
    <row r="721" spans="1:19" x14ac:dyDescent="0.35">
      <c r="A721" s="6">
        <v>14170550</v>
      </c>
      <c r="B721" s="5" t="s">
        <v>663</v>
      </c>
      <c r="C721" s="5" t="s">
        <v>135</v>
      </c>
      <c r="D721" s="5" t="s">
        <v>895</v>
      </c>
      <c r="E721" s="5" t="s">
        <v>133</v>
      </c>
      <c r="F721" s="5" t="s">
        <v>894</v>
      </c>
      <c r="G721" s="5">
        <v>649</v>
      </c>
      <c r="H721" s="5">
        <v>1299</v>
      </c>
      <c r="I721" s="5" t="s">
        <v>209</v>
      </c>
      <c r="J721" s="5" t="s">
        <v>391</v>
      </c>
      <c r="K721" s="5">
        <v>4.2</v>
      </c>
      <c r="L721" s="5">
        <v>869</v>
      </c>
      <c r="M721" s="5">
        <v>0.5</v>
      </c>
      <c r="N721" s="5">
        <v>1493.337491012077</v>
      </c>
      <c r="O721" s="5">
        <v>649</v>
      </c>
      <c r="P721" s="5" t="s">
        <v>391</v>
      </c>
      <c r="Q721" s="5" t="s">
        <v>57</v>
      </c>
      <c r="R721" s="5" t="s">
        <v>129</v>
      </c>
      <c r="S721" s="7" t="s">
        <v>896</v>
      </c>
    </row>
    <row r="722" spans="1:19" x14ac:dyDescent="0.35">
      <c r="A722" s="6">
        <v>13607464</v>
      </c>
      <c r="B722" s="5" t="s">
        <v>732</v>
      </c>
      <c r="C722" s="5" t="s">
        <v>135</v>
      </c>
      <c r="D722" s="5" t="s">
        <v>377</v>
      </c>
      <c r="E722" s="5" t="s">
        <v>133</v>
      </c>
      <c r="F722" s="5" t="s">
        <v>892</v>
      </c>
      <c r="G722" s="5">
        <v>1439</v>
      </c>
      <c r="H722" s="5">
        <v>4498</v>
      </c>
      <c r="I722" s="5" t="s">
        <v>891</v>
      </c>
      <c r="J722" s="5" t="s">
        <v>730</v>
      </c>
      <c r="K722" s="5">
        <v>4</v>
      </c>
      <c r="L722" s="5">
        <v>869</v>
      </c>
      <c r="M722" s="5">
        <v>0.68</v>
      </c>
      <c r="N722" s="5">
        <v>1493.337491012077</v>
      </c>
      <c r="O722" s="5">
        <v>1439</v>
      </c>
      <c r="P722" s="5" t="s">
        <v>730</v>
      </c>
      <c r="Q722" s="5" t="s">
        <v>55</v>
      </c>
      <c r="R722" s="5" t="s">
        <v>129</v>
      </c>
      <c r="S722" s="7" t="s">
        <v>893</v>
      </c>
    </row>
    <row r="723" spans="1:19" x14ac:dyDescent="0.35">
      <c r="A723" s="6">
        <v>2522867</v>
      </c>
      <c r="B723" s="5" t="s">
        <v>200</v>
      </c>
      <c r="C723" s="5" t="s">
        <v>163</v>
      </c>
      <c r="D723" s="5" t="s">
        <v>194</v>
      </c>
      <c r="E723" s="5" t="s">
        <v>133</v>
      </c>
      <c r="F723" s="5" t="s">
        <v>889</v>
      </c>
      <c r="G723" s="5"/>
      <c r="H723" s="5">
        <v>1099</v>
      </c>
      <c r="I723" s="5" t="s">
        <v>223</v>
      </c>
      <c r="J723" s="5" t="s">
        <v>192</v>
      </c>
      <c r="K723" s="5">
        <v>4.0999999999999996</v>
      </c>
      <c r="L723" s="5">
        <v>869</v>
      </c>
      <c r="M723" s="5">
        <v>0.6</v>
      </c>
      <c r="N723" s="5">
        <v>1790.0851063829789</v>
      </c>
      <c r="O723" s="5"/>
      <c r="P723" s="5" t="s">
        <v>192</v>
      </c>
      <c r="Q723" s="5" t="s">
        <v>55</v>
      </c>
      <c r="R723" s="5" t="s">
        <v>129</v>
      </c>
      <c r="S723" s="7" t="s">
        <v>890</v>
      </c>
    </row>
    <row r="724" spans="1:19" x14ac:dyDescent="0.35">
      <c r="A724" s="6">
        <v>10960718</v>
      </c>
      <c r="B724" s="5" t="s">
        <v>460</v>
      </c>
      <c r="C724" s="5" t="s">
        <v>135</v>
      </c>
      <c r="D724" s="5" t="s">
        <v>168</v>
      </c>
      <c r="E724" s="5" t="s">
        <v>133</v>
      </c>
      <c r="F724" s="5" t="s">
        <v>887</v>
      </c>
      <c r="G724" s="5">
        <v>679</v>
      </c>
      <c r="H724" s="5">
        <v>1699</v>
      </c>
      <c r="I724" s="5" t="s">
        <v>223</v>
      </c>
      <c r="J724" s="5" t="s">
        <v>196</v>
      </c>
      <c r="K724" s="5">
        <v>4.4000000000000004</v>
      </c>
      <c r="L724" s="5">
        <v>868</v>
      </c>
      <c r="M724" s="5">
        <v>0.6</v>
      </c>
      <c r="N724" s="5">
        <v>1493.337491012077</v>
      </c>
      <c r="O724" s="5">
        <v>679</v>
      </c>
      <c r="P724" s="5" t="s">
        <v>196</v>
      </c>
      <c r="Q724" s="5" t="s">
        <v>55</v>
      </c>
      <c r="R724" s="5" t="s">
        <v>129</v>
      </c>
      <c r="S724" s="7" t="s">
        <v>888</v>
      </c>
    </row>
    <row r="725" spans="1:19" x14ac:dyDescent="0.35">
      <c r="A725" s="6">
        <v>8350119</v>
      </c>
      <c r="B725" s="5" t="s">
        <v>180</v>
      </c>
      <c r="C725" s="5" t="s">
        <v>135</v>
      </c>
      <c r="D725" s="5" t="s">
        <v>168</v>
      </c>
      <c r="E725" s="5" t="s">
        <v>133</v>
      </c>
      <c r="F725" s="5" t="s">
        <v>885</v>
      </c>
      <c r="G725" s="5">
        <v>1079</v>
      </c>
      <c r="H725" s="5">
        <v>2699</v>
      </c>
      <c r="I725" s="5" t="s">
        <v>223</v>
      </c>
      <c r="J725" s="5" t="s">
        <v>177</v>
      </c>
      <c r="K725" s="5">
        <v>3.7</v>
      </c>
      <c r="L725" s="5">
        <v>868</v>
      </c>
      <c r="M725" s="5">
        <v>0.6</v>
      </c>
      <c r="N725" s="5">
        <v>1493.337491012077</v>
      </c>
      <c r="O725" s="5">
        <v>1079</v>
      </c>
      <c r="P725" s="5" t="s">
        <v>177</v>
      </c>
      <c r="Q725" s="5" t="s">
        <v>55</v>
      </c>
      <c r="R725" s="5" t="s">
        <v>129</v>
      </c>
      <c r="S725" s="7" t="s">
        <v>886</v>
      </c>
    </row>
    <row r="726" spans="1:19" x14ac:dyDescent="0.35">
      <c r="A726" s="6">
        <v>2295683</v>
      </c>
      <c r="B726" s="5" t="s">
        <v>883</v>
      </c>
      <c r="C726" s="5" t="s">
        <v>273</v>
      </c>
      <c r="D726" s="5" t="s">
        <v>442</v>
      </c>
      <c r="E726" s="5" t="s">
        <v>133</v>
      </c>
      <c r="F726" s="5" t="s">
        <v>882</v>
      </c>
      <c r="G726" s="5"/>
      <c r="H726" s="5">
        <v>649</v>
      </c>
      <c r="I726" s="5"/>
      <c r="J726" s="5" t="s">
        <v>212</v>
      </c>
      <c r="K726" s="5">
        <v>4</v>
      </c>
      <c r="L726" s="5">
        <v>868</v>
      </c>
      <c r="M726" s="5"/>
      <c r="N726" s="5">
        <v>811.90284167198604</v>
      </c>
      <c r="O726" s="5">
        <v>811.90284167198604</v>
      </c>
      <c r="P726" s="5" t="s">
        <v>212</v>
      </c>
      <c r="Q726" s="5" t="s">
        <v>57</v>
      </c>
      <c r="R726" s="5" t="s">
        <v>129</v>
      </c>
      <c r="S726" s="7" t="s">
        <v>884</v>
      </c>
    </row>
    <row r="727" spans="1:19" x14ac:dyDescent="0.35">
      <c r="A727" s="6">
        <v>9240703</v>
      </c>
      <c r="B727" s="5" t="s">
        <v>522</v>
      </c>
      <c r="C727" s="5" t="s">
        <v>163</v>
      </c>
      <c r="D727" s="5" t="s">
        <v>194</v>
      </c>
      <c r="E727" s="5" t="s">
        <v>133</v>
      </c>
      <c r="F727" s="5" t="s">
        <v>880</v>
      </c>
      <c r="G727" s="5"/>
      <c r="H727" s="5">
        <v>1599</v>
      </c>
      <c r="I727" s="5" t="s">
        <v>209</v>
      </c>
      <c r="J727" s="5" t="s">
        <v>150</v>
      </c>
      <c r="K727" s="5">
        <v>4.2</v>
      </c>
      <c r="L727" s="5">
        <v>868</v>
      </c>
      <c r="M727" s="5">
        <v>0.5</v>
      </c>
      <c r="N727" s="5">
        <v>1790.0851063829789</v>
      </c>
      <c r="O727" s="5"/>
      <c r="P727" s="5" t="s">
        <v>150</v>
      </c>
      <c r="Q727" s="5" t="s">
        <v>57</v>
      </c>
      <c r="R727" s="5" t="s">
        <v>129</v>
      </c>
      <c r="S727" s="7" t="s">
        <v>881</v>
      </c>
    </row>
    <row r="728" spans="1:19" x14ac:dyDescent="0.35">
      <c r="A728" s="6">
        <v>807931</v>
      </c>
      <c r="B728" s="5" t="s">
        <v>878</v>
      </c>
      <c r="C728" s="5" t="s">
        <v>163</v>
      </c>
      <c r="D728" s="5" t="s">
        <v>194</v>
      </c>
      <c r="E728" s="5" t="s">
        <v>133</v>
      </c>
      <c r="F728" s="5" t="s">
        <v>877</v>
      </c>
      <c r="G728" s="5"/>
      <c r="H728" s="5">
        <v>699</v>
      </c>
      <c r="I728" s="5" t="s">
        <v>876</v>
      </c>
      <c r="J728" s="5" t="s">
        <v>212</v>
      </c>
      <c r="K728" s="5">
        <v>4.3</v>
      </c>
      <c r="L728" s="5">
        <v>868</v>
      </c>
      <c r="M728" s="5">
        <v>0.2</v>
      </c>
      <c r="N728" s="5">
        <v>1790.0851063829789</v>
      </c>
      <c r="O728" s="5"/>
      <c r="P728" s="5" t="s">
        <v>212</v>
      </c>
      <c r="Q728" s="5" t="s">
        <v>57</v>
      </c>
      <c r="R728" s="5" t="s">
        <v>129</v>
      </c>
      <c r="S728" s="7" t="s">
        <v>879</v>
      </c>
    </row>
    <row r="729" spans="1:19" x14ac:dyDescent="0.35">
      <c r="A729" s="6">
        <v>11700056</v>
      </c>
      <c r="B729" s="5" t="s">
        <v>225</v>
      </c>
      <c r="C729" s="5" t="s">
        <v>163</v>
      </c>
      <c r="D729" s="5" t="s">
        <v>77</v>
      </c>
      <c r="E729" s="5" t="s">
        <v>133</v>
      </c>
      <c r="F729" s="5" t="s">
        <v>874</v>
      </c>
      <c r="G729" s="5"/>
      <c r="H729" s="5">
        <v>699</v>
      </c>
      <c r="I729" s="5" t="s">
        <v>223</v>
      </c>
      <c r="J729" s="5" t="s">
        <v>192</v>
      </c>
      <c r="K729" s="5">
        <v>4</v>
      </c>
      <c r="L729" s="5">
        <v>868</v>
      </c>
      <c r="M729" s="5">
        <v>0.6</v>
      </c>
      <c r="N729" s="5">
        <v>1790.0851063829789</v>
      </c>
      <c r="O729" s="5"/>
      <c r="P729" s="5" t="s">
        <v>192</v>
      </c>
      <c r="Q729" s="5" t="s">
        <v>55</v>
      </c>
      <c r="R729" s="5" t="s">
        <v>129</v>
      </c>
      <c r="S729" s="7" t="s">
        <v>875</v>
      </c>
    </row>
    <row r="730" spans="1:19" x14ac:dyDescent="0.35">
      <c r="A730" s="6">
        <v>10906444</v>
      </c>
      <c r="B730" s="5" t="s">
        <v>443</v>
      </c>
      <c r="C730" s="5" t="s">
        <v>156</v>
      </c>
      <c r="D730" s="5" t="s">
        <v>442</v>
      </c>
      <c r="E730" s="5" t="s">
        <v>140</v>
      </c>
      <c r="F730" s="5" t="s">
        <v>872</v>
      </c>
      <c r="G730" s="5"/>
      <c r="H730" s="5">
        <v>349</v>
      </c>
      <c r="I730" s="5"/>
      <c r="J730" s="5" t="s">
        <v>352</v>
      </c>
      <c r="K730" s="5">
        <v>4.5</v>
      </c>
      <c r="L730" s="5">
        <v>867</v>
      </c>
      <c r="M730" s="5"/>
      <c r="N730" s="5">
        <v>691.83976143141149</v>
      </c>
      <c r="O730" s="5">
        <v>691.83976143141149</v>
      </c>
      <c r="P730" s="5" t="s">
        <v>352</v>
      </c>
      <c r="Q730" s="5" t="s">
        <v>57</v>
      </c>
      <c r="R730" s="5" t="s">
        <v>129</v>
      </c>
      <c r="S730" s="7" t="s">
        <v>873</v>
      </c>
    </row>
    <row r="731" spans="1:19" x14ac:dyDescent="0.35">
      <c r="A731" s="6">
        <v>6833275</v>
      </c>
      <c r="B731" s="5" t="s">
        <v>183</v>
      </c>
      <c r="C731" s="5" t="s">
        <v>142</v>
      </c>
      <c r="D731" s="5" t="s">
        <v>77</v>
      </c>
      <c r="E731" s="5" t="s">
        <v>140</v>
      </c>
      <c r="F731" s="5" t="s">
        <v>870</v>
      </c>
      <c r="G731" s="5">
        <v>649</v>
      </c>
      <c r="H731" s="5">
        <v>999</v>
      </c>
      <c r="I731" s="5" t="s">
        <v>205</v>
      </c>
      <c r="J731" s="5" t="s">
        <v>150</v>
      </c>
      <c r="K731" s="5">
        <v>4.0999999999999996</v>
      </c>
      <c r="L731" s="5">
        <v>867</v>
      </c>
      <c r="M731" s="5">
        <v>0.35</v>
      </c>
      <c r="N731" s="5">
        <v>1138.6340612208289</v>
      </c>
      <c r="O731" s="5">
        <v>649</v>
      </c>
      <c r="P731" s="5" t="s">
        <v>150</v>
      </c>
      <c r="Q731" s="5" t="s">
        <v>57</v>
      </c>
      <c r="R731" s="5" t="s">
        <v>129</v>
      </c>
      <c r="S731" s="7" t="s">
        <v>871</v>
      </c>
    </row>
    <row r="732" spans="1:19" x14ac:dyDescent="0.35">
      <c r="A732" s="6">
        <v>10853008</v>
      </c>
      <c r="B732" s="5" t="s">
        <v>868</v>
      </c>
      <c r="C732" s="5" t="s">
        <v>135</v>
      </c>
      <c r="D732" s="5" t="s">
        <v>174</v>
      </c>
      <c r="E732" s="5" t="s">
        <v>133</v>
      </c>
      <c r="F732" s="5" t="s">
        <v>867</v>
      </c>
      <c r="G732" s="5">
        <v>686</v>
      </c>
      <c r="H732" s="5">
        <v>2080</v>
      </c>
      <c r="I732" s="5" t="s">
        <v>146</v>
      </c>
      <c r="J732" s="5" t="s">
        <v>171</v>
      </c>
      <c r="K732" s="5">
        <v>4</v>
      </c>
      <c r="L732" s="5">
        <v>867</v>
      </c>
      <c r="M732" s="5">
        <v>0.67</v>
      </c>
      <c r="N732" s="5">
        <v>1493.337491012077</v>
      </c>
      <c r="O732" s="5">
        <v>686</v>
      </c>
      <c r="P732" s="5" t="s">
        <v>171</v>
      </c>
      <c r="Q732" s="5" t="s">
        <v>55</v>
      </c>
      <c r="R732" s="5" t="s">
        <v>129</v>
      </c>
      <c r="S732" s="7" t="s">
        <v>869</v>
      </c>
    </row>
    <row r="733" spans="1:19" x14ac:dyDescent="0.35">
      <c r="A733" s="6">
        <v>1376778</v>
      </c>
      <c r="B733" s="5" t="s">
        <v>443</v>
      </c>
      <c r="C733" s="5" t="s">
        <v>273</v>
      </c>
      <c r="D733" s="5" t="s">
        <v>272</v>
      </c>
      <c r="E733" s="5" t="s">
        <v>133</v>
      </c>
      <c r="F733" s="5" t="s">
        <v>865</v>
      </c>
      <c r="G733" s="5"/>
      <c r="H733" s="5">
        <v>549</v>
      </c>
      <c r="I733" s="5"/>
      <c r="J733" s="5" t="s">
        <v>864</v>
      </c>
      <c r="K733" s="5">
        <v>4.5</v>
      </c>
      <c r="L733" s="5">
        <v>867</v>
      </c>
      <c r="M733" s="5"/>
      <c r="N733" s="5">
        <v>811.90284167198604</v>
      </c>
      <c r="O733" s="5">
        <v>811.90284167198604</v>
      </c>
      <c r="P733" s="5" t="s">
        <v>864</v>
      </c>
      <c r="Q733" s="5" t="s">
        <v>57</v>
      </c>
      <c r="R733" s="5" t="s">
        <v>129</v>
      </c>
      <c r="S733" s="7" t="s">
        <v>866</v>
      </c>
    </row>
    <row r="734" spans="1:19" x14ac:dyDescent="0.35">
      <c r="A734" s="6">
        <v>11364332</v>
      </c>
      <c r="B734" s="5" t="s">
        <v>472</v>
      </c>
      <c r="C734" s="5" t="s">
        <v>163</v>
      </c>
      <c r="D734" s="5" t="s">
        <v>194</v>
      </c>
      <c r="E734" s="5" t="s">
        <v>133</v>
      </c>
      <c r="F734" s="5" t="s">
        <v>862</v>
      </c>
      <c r="G734" s="5"/>
      <c r="H734" s="5">
        <v>1299</v>
      </c>
      <c r="I734" s="5" t="s">
        <v>223</v>
      </c>
      <c r="J734" s="5" t="s">
        <v>192</v>
      </c>
      <c r="K734" s="5">
        <v>4.3</v>
      </c>
      <c r="L734" s="5">
        <v>867</v>
      </c>
      <c r="M734" s="5">
        <v>0.6</v>
      </c>
      <c r="N734" s="5">
        <v>1790.0851063829789</v>
      </c>
      <c r="O734" s="5"/>
      <c r="P734" s="5" t="s">
        <v>192</v>
      </c>
      <c r="Q734" s="5" t="s">
        <v>55</v>
      </c>
      <c r="R734" s="5" t="s">
        <v>129</v>
      </c>
      <c r="S734" s="7" t="s">
        <v>863</v>
      </c>
    </row>
    <row r="735" spans="1:19" x14ac:dyDescent="0.35">
      <c r="A735" s="6">
        <v>12698610</v>
      </c>
      <c r="B735" s="5" t="s">
        <v>250</v>
      </c>
      <c r="C735" s="5" t="s">
        <v>163</v>
      </c>
      <c r="D735" s="5" t="s">
        <v>493</v>
      </c>
      <c r="E735" s="5" t="s">
        <v>133</v>
      </c>
      <c r="F735" s="5" t="s">
        <v>860</v>
      </c>
      <c r="G735" s="5"/>
      <c r="H735" s="5">
        <v>3299</v>
      </c>
      <c r="I735" s="5" t="s">
        <v>283</v>
      </c>
      <c r="J735" s="5" t="s">
        <v>196</v>
      </c>
      <c r="K735" s="5">
        <v>4.3</v>
      </c>
      <c r="L735" s="5">
        <v>867</v>
      </c>
      <c r="M735" s="5">
        <v>0.7</v>
      </c>
      <c r="N735" s="5">
        <v>1790.0851063829789</v>
      </c>
      <c r="O735" s="5"/>
      <c r="P735" s="5" t="s">
        <v>196</v>
      </c>
      <c r="Q735" s="5" t="s">
        <v>55</v>
      </c>
      <c r="R735" s="5" t="s">
        <v>129</v>
      </c>
      <c r="S735" s="7" t="s">
        <v>861</v>
      </c>
    </row>
    <row r="736" spans="1:19" x14ac:dyDescent="0.35">
      <c r="A736" s="6">
        <v>2224781</v>
      </c>
      <c r="B736" s="5" t="s">
        <v>225</v>
      </c>
      <c r="C736" s="5" t="s">
        <v>163</v>
      </c>
      <c r="D736" s="5" t="s">
        <v>77</v>
      </c>
      <c r="E736" s="5" t="s">
        <v>133</v>
      </c>
      <c r="F736" s="5" t="s">
        <v>858</v>
      </c>
      <c r="G736" s="5"/>
      <c r="H736" s="5">
        <v>699</v>
      </c>
      <c r="I736" s="5" t="s">
        <v>209</v>
      </c>
      <c r="J736" s="5" t="s">
        <v>192</v>
      </c>
      <c r="K736" s="5">
        <v>4.3</v>
      </c>
      <c r="L736" s="5">
        <v>867</v>
      </c>
      <c r="M736" s="5">
        <v>0.5</v>
      </c>
      <c r="N736" s="5">
        <v>1790.0851063829789</v>
      </c>
      <c r="O736" s="5"/>
      <c r="P736" s="5" t="s">
        <v>192</v>
      </c>
      <c r="Q736" s="5" t="s">
        <v>57</v>
      </c>
      <c r="R736" s="5" t="s">
        <v>129</v>
      </c>
      <c r="S736" s="7" t="s">
        <v>859</v>
      </c>
    </row>
    <row r="737" spans="1:19" x14ac:dyDescent="0.35">
      <c r="A737" s="6">
        <v>10968524</v>
      </c>
      <c r="B737" s="5" t="s">
        <v>250</v>
      </c>
      <c r="C737" s="5" t="s">
        <v>163</v>
      </c>
      <c r="D737" s="5" t="s">
        <v>77</v>
      </c>
      <c r="E737" s="5" t="s">
        <v>133</v>
      </c>
      <c r="F737" s="5" t="s">
        <v>856</v>
      </c>
      <c r="G737" s="5"/>
      <c r="H737" s="5">
        <v>699</v>
      </c>
      <c r="I737" s="5"/>
      <c r="J737" s="5" t="s">
        <v>192</v>
      </c>
      <c r="K737" s="5">
        <v>4.3</v>
      </c>
      <c r="L737" s="5">
        <v>867</v>
      </c>
      <c r="M737" s="5"/>
      <c r="N737" s="5">
        <v>1790.0851063829789</v>
      </c>
      <c r="O737" s="5">
        <v>1790.0851063829789</v>
      </c>
      <c r="P737" s="5" t="s">
        <v>192</v>
      </c>
      <c r="Q737" s="5" t="s">
        <v>57</v>
      </c>
      <c r="R737" s="5" t="s">
        <v>129</v>
      </c>
      <c r="S737" s="7" t="s">
        <v>857</v>
      </c>
    </row>
    <row r="738" spans="1:19" x14ac:dyDescent="0.35">
      <c r="A738" s="6">
        <v>11401800</v>
      </c>
      <c r="B738" s="5" t="s">
        <v>250</v>
      </c>
      <c r="C738" s="5" t="s">
        <v>163</v>
      </c>
      <c r="D738" s="5" t="s">
        <v>77</v>
      </c>
      <c r="E738" s="5" t="s">
        <v>133</v>
      </c>
      <c r="F738" s="5" t="s">
        <v>854</v>
      </c>
      <c r="G738" s="5"/>
      <c r="H738" s="5">
        <v>899</v>
      </c>
      <c r="I738" s="5"/>
      <c r="J738" s="5" t="s">
        <v>192</v>
      </c>
      <c r="K738" s="5">
        <v>4.4000000000000004</v>
      </c>
      <c r="L738" s="5">
        <v>867</v>
      </c>
      <c r="M738" s="5"/>
      <c r="N738" s="5">
        <v>1790.0851063829789</v>
      </c>
      <c r="O738" s="5">
        <v>1790.0851063829789</v>
      </c>
      <c r="P738" s="5" t="s">
        <v>192</v>
      </c>
      <c r="Q738" s="5" t="s">
        <v>57</v>
      </c>
      <c r="R738" s="5" t="s">
        <v>129</v>
      </c>
      <c r="S738" s="7" t="s">
        <v>855</v>
      </c>
    </row>
    <row r="739" spans="1:19" x14ac:dyDescent="0.35">
      <c r="A739" s="6">
        <v>9261285</v>
      </c>
      <c r="B739" s="5" t="s">
        <v>678</v>
      </c>
      <c r="C739" s="5" t="s">
        <v>156</v>
      </c>
      <c r="D739" s="5" t="s">
        <v>500</v>
      </c>
      <c r="E739" s="5" t="s">
        <v>140</v>
      </c>
      <c r="F739" s="5" t="s">
        <v>852</v>
      </c>
      <c r="G739" s="5"/>
      <c r="H739" s="5">
        <v>259</v>
      </c>
      <c r="I739" s="5"/>
      <c r="J739" s="5" t="s">
        <v>212</v>
      </c>
      <c r="K739" s="5">
        <v>4.4000000000000004</v>
      </c>
      <c r="L739" s="5">
        <v>866</v>
      </c>
      <c r="M739" s="5"/>
      <c r="N739" s="5">
        <v>691.83976143141149</v>
      </c>
      <c r="O739" s="5">
        <v>691.83976143141149</v>
      </c>
      <c r="P739" s="5" t="s">
        <v>212</v>
      </c>
      <c r="Q739" s="5" t="s">
        <v>57</v>
      </c>
      <c r="R739" s="5" t="s">
        <v>129</v>
      </c>
      <c r="S739" s="7" t="s">
        <v>853</v>
      </c>
    </row>
    <row r="740" spans="1:19" x14ac:dyDescent="0.35">
      <c r="A740" s="6">
        <v>1460195</v>
      </c>
      <c r="B740" s="5" t="s">
        <v>339</v>
      </c>
      <c r="C740" s="5" t="s">
        <v>142</v>
      </c>
      <c r="D740" s="5" t="s">
        <v>77</v>
      </c>
      <c r="E740" s="5" t="s">
        <v>140</v>
      </c>
      <c r="F740" s="5" t="s">
        <v>850</v>
      </c>
      <c r="G740" s="5">
        <v>449</v>
      </c>
      <c r="H740" s="5">
        <v>999</v>
      </c>
      <c r="I740" s="5" t="s">
        <v>178</v>
      </c>
      <c r="J740" s="5" t="s">
        <v>150</v>
      </c>
      <c r="K740" s="5">
        <v>4.0999999999999996</v>
      </c>
      <c r="L740" s="5">
        <v>866</v>
      </c>
      <c r="M740" s="5">
        <v>0.55000000000000004</v>
      </c>
      <c r="N740" s="5">
        <v>1138.6340612208289</v>
      </c>
      <c r="O740" s="5">
        <v>449</v>
      </c>
      <c r="P740" s="5" t="s">
        <v>150</v>
      </c>
      <c r="Q740" s="5" t="s">
        <v>55</v>
      </c>
      <c r="R740" s="5" t="s">
        <v>129</v>
      </c>
      <c r="S740" s="7" t="s">
        <v>851</v>
      </c>
    </row>
    <row r="741" spans="1:19" x14ac:dyDescent="0.35">
      <c r="A741" s="6">
        <v>12135220</v>
      </c>
      <c r="B741" s="5" t="s">
        <v>460</v>
      </c>
      <c r="C741" s="5" t="s">
        <v>135</v>
      </c>
      <c r="D741" s="5" t="s">
        <v>168</v>
      </c>
      <c r="E741" s="5" t="s">
        <v>133</v>
      </c>
      <c r="F741" s="5" t="s">
        <v>848</v>
      </c>
      <c r="G741" s="5">
        <v>714</v>
      </c>
      <c r="H741" s="5">
        <v>1299</v>
      </c>
      <c r="I741" s="5" t="s">
        <v>36</v>
      </c>
      <c r="J741" s="5" t="s">
        <v>196</v>
      </c>
      <c r="K741" s="5">
        <v>4.0999999999999996</v>
      </c>
      <c r="L741" s="5">
        <v>866</v>
      </c>
      <c r="M741" s="5">
        <v>0.45</v>
      </c>
      <c r="N741" s="5">
        <v>1493.337491012077</v>
      </c>
      <c r="O741" s="5">
        <v>714</v>
      </c>
      <c r="P741" s="5" t="s">
        <v>196</v>
      </c>
      <c r="Q741" s="5" t="s">
        <v>57</v>
      </c>
      <c r="R741" s="5" t="s">
        <v>129</v>
      </c>
      <c r="S741" s="7" t="s">
        <v>849</v>
      </c>
    </row>
    <row r="742" spans="1:19" x14ac:dyDescent="0.35">
      <c r="A742" s="6">
        <v>12009590</v>
      </c>
      <c r="B742" s="5" t="s">
        <v>164</v>
      </c>
      <c r="C742" s="5" t="s">
        <v>163</v>
      </c>
      <c r="D742" s="5" t="s">
        <v>188</v>
      </c>
      <c r="E742" s="5" t="s">
        <v>133</v>
      </c>
      <c r="F742" s="5" t="s">
        <v>846</v>
      </c>
      <c r="G742" s="5"/>
      <c r="H742" s="5">
        <v>1149</v>
      </c>
      <c r="I742" s="5" t="s">
        <v>817</v>
      </c>
      <c r="J742" s="5" t="s">
        <v>159</v>
      </c>
      <c r="K742" s="5">
        <v>4.2</v>
      </c>
      <c r="L742" s="5">
        <v>866</v>
      </c>
      <c r="M742" s="5">
        <v>0.47</v>
      </c>
      <c r="N742" s="5">
        <v>1790.0851063829789</v>
      </c>
      <c r="O742" s="5"/>
      <c r="P742" s="5" t="s">
        <v>159</v>
      </c>
      <c r="Q742" s="5" t="s">
        <v>57</v>
      </c>
      <c r="R742" s="5" t="s">
        <v>129</v>
      </c>
      <c r="S742" s="7" t="s">
        <v>847</v>
      </c>
    </row>
    <row r="743" spans="1:19" x14ac:dyDescent="0.35">
      <c r="A743" s="6">
        <v>8643095</v>
      </c>
      <c r="B743" s="5" t="s">
        <v>472</v>
      </c>
      <c r="C743" s="5" t="s">
        <v>163</v>
      </c>
      <c r="D743" s="5" t="s">
        <v>228</v>
      </c>
      <c r="E743" s="5" t="s">
        <v>133</v>
      </c>
      <c r="F743" s="5" t="s">
        <v>844</v>
      </c>
      <c r="G743" s="5"/>
      <c r="H743" s="5">
        <v>1899</v>
      </c>
      <c r="I743" s="5" t="s">
        <v>178</v>
      </c>
      <c r="J743" s="5" t="s">
        <v>196</v>
      </c>
      <c r="K743" s="5">
        <v>4.3</v>
      </c>
      <c r="L743" s="5">
        <v>866</v>
      </c>
      <c r="M743" s="5">
        <v>0.55000000000000004</v>
      </c>
      <c r="N743" s="5">
        <v>1790.0851063829789</v>
      </c>
      <c r="O743" s="5"/>
      <c r="P743" s="5" t="s">
        <v>196</v>
      </c>
      <c r="Q743" s="5" t="s">
        <v>55</v>
      </c>
      <c r="R743" s="5" t="s">
        <v>129</v>
      </c>
      <c r="S743" s="7" t="s">
        <v>845</v>
      </c>
    </row>
    <row r="744" spans="1:19" x14ac:dyDescent="0.35">
      <c r="A744" s="6">
        <v>1763177</v>
      </c>
      <c r="B744" s="5" t="s">
        <v>339</v>
      </c>
      <c r="C744" s="5" t="s">
        <v>163</v>
      </c>
      <c r="D744" s="5" t="s">
        <v>77</v>
      </c>
      <c r="E744" s="5" t="s">
        <v>133</v>
      </c>
      <c r="F744" s="5" t="s">
        <v>842</v>
      </c>
      <c r="G744" s="5"/>
      <c r="H744" s="5">
        <v>599</v>
      </c>
      <c r="I744" s="5" t="s">
        <v>131</v>
      </c>
      <c r="J744" s="5" t="s">
        <v>192</v>
      </c>
      <c r="K744" s="5">
        <v>4.0999999999999996</v>
      </c>
      <c r="L744" s="5">
        <v>866</v>
      </c>
      <c r="M744" s="5">
        <v>0.4</v>
      </c>
      <c r="N744" s="5">
        <v>1790.0851063829789</v>
      </c>
      <c r="O744" s="5"/>
      <c r="P744" s="5" t="s">
        <v>192</v>
      </c>
      <c r="Q744" s="5" t="s">
        <v>57</v>
      </c>
      <c r="R744" s="5" t="s">
        <v>129</v>
      </c>
      <c r="S744" s="7" t="s">
        <v>843</v>
      </c>
    </row>
    <row r="745" spans="1:19" x14ac:dyDescent="0.35">
      <c r="A745" s="6">
        <v>2490953</v>
      </c>
      <c r="B745" s="5" t="s">
        <v>225</v>
      </c>
      <c r="C745" s="5" t="s">
        <v>163</v>
      </c>
      <c r="D745" s="5" t="s">
        <v>194</v>
      </c>
      <c r="E745" s="5" t="s">
        <v>133</v>
      </c>
      <c r="F745" s="5" t="s">
        <v>840</v>
      </c>
      <c r="G745" s="5"/>
      <c r="H745" s="5">
        <v>599</v>
      </c>
      <c r="I745" s="5" t="s">
        <v>36</v>
      </c>
      <c r="J745" s="5" t="s">
        <v>192</v>
      </c>
      <c r="K745" s="5">
        <v>4.2</v>
      </c>
      <c r="L745" s="5">
        <v>866</v>
      </c>
      <c r="M745" s="5">
        <v>0.45</v>
      </c>
      <c r="N745" s="5">
        <v>1790.0851063829789</v>
      </c>
      <c r="O745" s="5"/>
      <c r="P745" s="5" t="s">
        <v>192</v>
      </c>
      <c r="Q745" s="5" t="s">
        <v>57</v>
      </c>
      <c r="R745" s="5" t="s">
        <v>129</v>
      </c>
      <c r="S745" s="7" t="s">
        <v>841</v>
      </c>
    </row>
    <row r="746" spans="1:19" x14ac:dyDescent="0.35">
      <c r="A746" s="6">
        <v>10415106</v>
      </c>
      <c r="B746" s="5" t="s">
        <v>350</v>
      </c>
      <c r="C746" s="5" t="s">
        <v>189</v>
      </c>
      <c r="D746" s="5" t="s">
        <v>162</v>
      </c>
      <c r="E746" s="5" t="s">
        <v>140</v>
      </c>
      <c r="F746" s="5" t="s">
        <v>838</v>
      </c>
      <c r="G746" s="5">
        <v>1138</v>
      </c>
      <c r="H746" s="5">
        <v>1898</v>
      </c>
      <c r="I746" s="5" t="s">
        <v>131</v>
      </c>
      <c r="J746" s="5" t="s">
        <v>408</v>
      </c>
      <c r="K746" s="5">
        <v>3.2</v>
      </c>
      <c r="L746" s="5">
        <v>865</v>
      </c>
      <c r="M746" s="5">
        <v>0.4</v>
      </c>
      <c r="N746" s="5">
        <v>1351.2078667815099</v>
      </c>
      <c r="O746" s="5">
        <v>1138</v>
      </c>
      <c r="P746" s="5" t="s">
        <v>408</v>
      </c>
      <c r="Q746" s="5" t="s">
        <v>57</v>
      </c>
      <c r="R746" s="5" t="s">
        <v>129</v>
      </c>
      <c r="S746" s="7" t="s">
        <v>839</v>
      </c>
    </row>
    <row r="747" spans="1:19" x14ac:dyDescent="0.35">
      <c r="A747" s="6">
        <v>6012712</v>
      </c>
      <c r="B747" s="5" t="s">
        <v>190</v>
      </c>
      <c r="C747" s="5" t="s">
        <v>142</v>
      </c>
      <c r="D747" s="5" t="s">
        <v>141</v>
      </c>
      <c r="E747" s="5" t="s">
        <v>140</v>
      </c>
      <c r="F747" s="5" t="s">
        <v>836</v>
      </c>
      <c r="G747" s="5">
        <v>539</v>
      </c>
      <c r="H747" s="5">
        <v>1349</v>
      </c>
      <c r="I747" s="5" t="s">
        <v>223</v>
      </c>
      <c r="J747" s="5" t="s">
        <v>145</v>
      </c>
      <c r="K747" s="5">
        <v>3.8</v>
      </c>
      <c r="L747" s="5">
        <v>865</v>
      </c>
      <c r="M747" s="5">
        <v>0.6</v>
      </c>
      <c r="N747" s="5">
        <v>1138.6340612208289</v>
      </c>
      <c r="O747" s="5">
        <v>539</v>
      </c>
      <c r="P747" s="5" t="s">
        <v>145</v>
      </c>
      <c r="Q747" s="5" t="s">
        <v>55</v>
      </c>
      <c r="R747" s="5" t="s">
        <v>129</v>
      </c>
      <c r="S747" s="7" t="s">
        <v>837</v>
      </c>
    </row>
    <row r="748" spans="1:19" x14ac:dyDescent="0.35">
      <c r="A748" s="6">
        <v>7088221</v>
      </c>
      <c r="B748" s="5" t="s">
        <v>143</v>
      </c>
      <c r="C748" s="5" t="s">
        <v>142</v>
      </c>
      <c r="D748" s="5" t="s">
        <v>77</v>
      </c>
      <c r="E748" s="5" t="s">
        <v>140</v>
      </c>
      <c r="F748" s="5" t="s">
        <v>834</v>
      </c>
      <c r="G748" s="5">
        <v>314</v>
      </c>
      <c r="H748" s="5">
        <v>899</v>
      </c>
      <c r="I748" s="5" t="s">
        <v>197</v>
      </c>
      <c r="J748" s="5" t="s">
        <v>150</v>
      </c>
      <c r="K748" s="5">
        <v>4.2</v>
      </c>
      <c r="L748" s="5">
        <v>865</v>
      </c>
      <c r="M748" s="5">
        <v>0.65</v>
      </c>
      <c r="N748" s="5">
        <v>1138.6340612208289</v>
      </c>
      <c r="O748" s="5">
        <v>314</v>
      </c>
      <c r="P748" s="5" t="s">
        <v>150</v>
      </c>
      <c r="Q748" s="5" t="s">
        <v>55</v>
      </c>
      <c r="R748" s="5" t="s">
        <v>129</v>
      </c>
      <c r="S748" s="7" t="s">
        <v>835</v>
      </c>
    </row>
    <row r="749" spans="1:19" x14ac:dyDescent="0.35">
      <c r="A749" s="6">
        <v>14154078</v>
      </c>
      <c r="B749" s="5" t="s">
        <v>164</v>
      </c>
      <c r="C749" s="5" t="s">
        <v>163</v>
      </c>
      <c r="D749" s="5" t="s">
        <v>199</v>
      </c>
      <c r="E749" s="5" t="s">
        <v>133</v>
      </c>
      <c r="F749" s="5" t="s">
        <v>832</v>
      </c>
      <c r="G749" s="5"/>
      <c r="H749" s="5">
        <v>999</v>
      </c>
      <c r="I749" s="5" t="s">
        <v>371</v>
      </c>
      <c r="J749" s="5" t="s">
        <v>212</v>
      </c>
      <c r="K749" s="5">
        <v>4.2</v>
      </c>
      <c r="L749" s="5">
        <v>865</v>
      </c>
      <c r="M749" s="5">
        <v>0.48</v>
      </c>
      <c r="N749" s="5">
        <v>1790.0851063829789</v>
      </c>
      <c r="O749" s="5"/>
      <c r="P749" s="5" t="s">
        <v>212</v>
      </c>
      <c r="Q749" s="5" t="s">
        <v>57</v>
      </c>
      <c r="R749" s="5" t="s">
        <v>129</v>
      </c>
      <c r="S749" s="7" t="s">
        <v>833</v>
      </c>
    </row>
    <row r="750" spans="1:19" x14ac:dyDescent="0.35">
      <c r="A750" s="6">
        <v>10004111</v>
      </c>
      <c r="B750" s="5" t="s">
        <v>190</v>
      </c>
      <c r="C750" s="5" t="s">
        <v>142</v>
      </c>
      <c r="D750" s="5" t="s">
        <v>141</v>
      </c>
      <c r="E750" s="5" t="s">
        <v>140</v>
      </c>
      <c r="F750" s="5" t="s">
        <v>830</v>
      </c>
      <c r="G750" s="5">
        <v>493</v>
      </c>
      <c r="H750" s="5">
        <v>1049</v>
      </c>
      <c r="I750" s="5" t="s">
        <v>381</v>
      </c>
      <c r="J750" s="5" t="s">
        <v>145</v>
      </c>
      <c r="K750" s="5">
        <v>4.3</v>
      </c>
      <c r="L750" s="5">
        <v>864</v>
      </c>
      <c r="M750" s="5">
        <v>0.53</v>
      </c>
      <c r="N750" s="5">
        <v>1138.6340612208289</v>
      </c>
      <c r="O750" s="5">
        <v>493</v>
      </c>
      <c r="P750" s="5" t="s">
        <v>145</v>
      </c>
      <c r="Q750" s="5" t="s">
        <v>55</v>
      </c>
      <c r="R750" s="5" t="s">
        <v>129</v>
      </c>
      <c r="S750" s="7" t="s">
        <v>831</v>
      </c>
    </row>
    <row r="751" spans="1:19" x14ac:dyDescent="0.35">
      <c r="A751" s="6">
        <v>2095974</v>
      </c>
      <c r="B751" s="5" t="s">
        <v>828</v>
      </c>
      <c r="C751" s="5" t="s">
        <v>142</v>
      </c>
      <c r="D751" s="5" t="s">
        <v>77</v>
      </c>
      <c r="E751" s="5" t="s">
        <v>140</v>
      </c>
      <c r="F751" s="5" t="s">
        <v>827</v>
      </c>
      <c r="G751" s="5">
        <v>494</v>
      </c>
      <c r="H751" s="5">
        <v>1099</v>
      </c>
      <c r="I751" s="5" t="s">
        <v>178</v>
      </c>
      <c r="J751" s="5" t="s">
        <v>150</v>
      </c>
      <c r="K751" s="5">
        <v>4.0999999999999996</v>
      </c>
      <c r="L751" s="5">
        <v>864</v>
      </c>
      <c r="M751" s="5">
        <v>0.55000000000000004</v>
      </c>
      <c r="N751" s="5">
        <v>1138.6340612208289</v>
      </c>
      <c r="O751" s="5">
        <v>494</v>
      </c>
      <c r="P751" s="5" t="s">
        <v>150</v>
      </c>
      <c r="Q751" s="5" t="s">
        <v>55</v>
      </c>
      <c r="R751" s="5" t="s">
        <v>129</v>
      </c>
      <c r="S751" s="7" t="s">
        <v>829</v>
      </c>
    </row>
    <row r="752" spans="1:19" x14ac:dyDescent="0.35">
      <c r="A752" s="6">
        <v>1272492</v>
      </c>
      <c r="B752" s="5" t="s">
        <v>190</v>
      </c>
      <c r="C752" s="5" t="s">
        <v>142</v>
      </c>
      <c r="D752" s="5" t="s">
        <v>141</v>
      </c>
      <c r="E752" s="5" t="s">
        <v>140</v>
      </c>
      <c r="F752" s="5" t="s">
        <v>825</v>
      </c>
      <c r="G752" s="5">
        <v>439</v>
      </c>
      <c r="H752" s="5">
        <v>999</v>
      </c>
      <c r="I752" s="5" t="s">
        <v>172</v>
      </c>
      <c r="J752" s="5" t="s">
        <v>208</v>
      </c>
      <c r="K752" s="5">
        <v>4.2</v>
      </c>
      <c r="L752" s="5">
        <v>864</v>
      </c>
      <c r="M752" s="5">
        <v>0.56000000000000005</v>
      </c>
      <c r="N752" s="5">
        <v>1138.6340612208289</v>
      </c>
      <c r="O752" s="5">
        <v>439</v>
      </c>
      <c r="P752" s="5" t="s">
        <v>208</v>
      </c>
      <c r="Q752" s="5" t="s">
        <v>55</v>
      </c>
      <c r="R752" s="5" t="s">
        <v>129</v>
      </c>
      <c r="S752" s="7" t="s">
        <v>826</v>
      </c>
    </row>
    <row r="753" spans="1:19" x14ac:dyDescent="0.35">
      <c r="A753" s="6">
        <v>1973400</v>
      </c>
      <c r="B753" s="5" t="s">
        <v>143</v>
      </c>
      <c r="C753" s="5" t="s">
        <v>235</v>
      </c>
      <c r="D753" s="5" t="s">
        <v>194</v>
      </c>
      <c r="E753" s="5" t="s">
        <v>133</v>
      </c>
      <c r="F753" s="5" t="s">
        <v>823</v>
      </c>
      <c r="G753" s="5">
        <v>524</v>
      </c>
      <c r="H753" s="5">
        <v>1049</v>
      </c>
      <c r="I753" s="5" t="s">
        <v>209</v>
      </c>
      <c r="J753" s="5" t="s">
        <v>196</v>
      </c>
      <c r="K753" s="5">
        <v>4</v>
      </c>
      <c r="L753" s="5">
        <v>864</v>
      </c>
      <c r="M753" s="5">
        <v>0.5</v>
      </c>
      <c r="N753" s="5">
        <v>923.69459774582197</v>
      </c>
      <c r="O753" s="5">
        <v>524</v>
      </c>
      <c r="P753" s="5" t="s">
        <v>196</v>
      </c>
      <c r="Q753" s="5" t="s">
        <v>57</v>
      </c>
      <c r="R753" s="5" t="s">
        <v>129</v>
      </c>
      <c r="S753" s="7" t="s">
        <v>824</v>
      </c>
    </row>
    <row r="754" spans="1:19" x14ac:dyDescent="0.35">
      <c r="A754" s="6">
        <v>9478001</v>
      </c>
      <c r="B754" s="5" t="s">
        <v>250</v>
      </c>
      <c r="C754" s="5" t="s">
        <v>163</v>
      </c>
      <c r="D754" s="5" t="s">
        <v>215</v>
      </c>
      <c r="E754" s="5" t="s">
        <v>133</v>
      </c>
      <c r="F754" s="5" t="s">
        <v>821</v>
      </c>
      <c r="G754" s="5"/>
      <c r="H754" s="5">
        <v>2399</v>
      </c>
      <c r="I754" s="5" t="s">
        <v>283</v>
      </c>
      <c r="J754" s="5" t="s">
        <v>196</v>
      </c>
      <c r="K754" s="5">
        <v>3.9</v>
      </c>
      <c r="L754" s="5">
        <v>864</v>
      </c>
      <c r="M754" s="5">
        <v>0.7</v>
      </c>
      <c r="N754" s="5">
        <v>1790.0851063829789</v>
      </c>
      <c r="O754" s="5"/>
      <c r="P754" s="5" t="s">
        <v>196</v>
      </c>
      <c r="Q754" s="5" t="s">
        <v>55</v>
      </c>
      <c r="R754" s="5" t="s">
        <v>129</v>
      </c>
      <c r="S754" s="7" t="s">
        <v>822</v>
      </c>
    </row>
    <row r="755" spans="1:19" x14ac:dyDescent="0.35">
      <c r="A755" s="6">
        <v>1109295</v>
      </c>
      <c r="B755" s="5" t="s">
        <v>819</v>
      </c>
      <c r="C755" s="5" t="s">
        <v>163</v>
      </c>
      <c r="D755" s="5" t="s">
        <v>194</v>
      </c>
      <c r="E755" s="5" t="s">
        <v>133</v>
      </c>
      <c r="F755" s="5" t="s">
        <v>818</v>
      </c>
      <c r="G755" s="5"/>
      <c r="H755" s="5">
        <v>999</v>
      </c>
      <c r="I755" s="5" t="s">
        <v>817</v>
      </c>
      <c r="J755" s="5" t="s">
        <v>212</v>
      </c>
      <c r="K755" s="5">
        <v>4</v>
      </c>
      <c r="L755" s="5">
        <v>864</v>
      </c>
      <c r="M755" s="5">
        <v>0.47</v>
      </c>
      <c r="N755" s="5">
        <v>1790.0851063829789</v>
      </c>
      <c r="O755" s="5"/>
      <c r="P755" s="5" t="s">
        <v>212</v>
      </c>
      <c r="Q755" s="5" t="s">
        <v>57</v>
      </c>
      <c r="R755" s="5" t="s">
        <v>129</v>
      </c>
      <c r="S755" s="7" t="s">
        <v>820</v>
      </c>
    </row>
    <row r="756" spans="1:19" x14ac:dyDescent="0.35">
      <c r="A756" s="6">
        <v>11327214</v>
      </c>
      <c r="B756" s="5" t="s">
        <v>250</v>
      </c>
      <c r="C756" s="5" t="s">
        <v>142</v>
      </c>
      <c r="D756" s="5" t="s">
        <v>141</v>
      </c>
      <c r="E756" s="5" t="s">
        <v>140</v>
      </c>
      <c r="F756" s="5" t="s">
        <v>815</v>
      </c>
      <c r="G756" s="5">
        <v>779</v>
      </c>
      <c r="H756" s="5">
        <v>1299</v>
      </c>
      <c r="I756" s="5" t="s">
        <v>131</v>
      </c>
      <c r="J756" s="5" t="s">
        <v>348</v>
      </c>
      <c r="K756" s="5">
        <v>4.3</v>
      </c>
      <c r="L756" s="5">
        <v>863</v>
      </c>
      <c r="M756" s="5">
        <v>0.4</v>
      </c>
      <c r="N756" s="5">
        <v>1138.6340612208289</v>
      </c>
      <c r="O756" s="5">
        <v>779</v>
      </c>
      <c r="P756" s="5" t="s">
        <v>348</v>
      </c>
      <c r="Q756" s="5" t="s">
        <v>57</v>
      </c>
      <c r="R756" s="5" t="s">
        <v>129</v>
      </c>
      <c r="S756" s="7" t="s">
        <v>816</v>
      </c>
    </row>
    <row r="757" spans="1:19" x14ac:dyDescent="0.35">
      <c r="A757" s="6">
        <v>11538028</v>
      </c>
      <c r="B757" s="5" t="s">
        <v>752</v>
      </c>
      <c r="C757" s="5" t="s">
        <v>135</v>
      </c>
      <c r="D757" s="5" t="s">
        <v>228</v>
      </c>
      <c r="E757" s="5" t="s">
        <v>133</v>
      </c>
      <c r="F757" s="5" t="s">
        <v>813</v>
      </c>
      <c r="G757" s="5">
        <v>679</v>
      </c>
      <c r="H757" s="5">
        <v>1699</v>
      </c>
      <c r="I757" s="5" t="s">
        <v>223</v>
      </c>
      <c r="J757" s="5" t="s">
        <v>150</v>
      </c>
      <c r="K757" s="5">
        <v>3.7</v>
      </c>
      <c r="L757" s="5">
        <v>863</v>
      </c>
      <c r="M757" s="5">
        <v>0.6</v>
      </c>
      <c r="N757" s="5">
        <v>1493.337491012077</v>
      </c>
      <c r="O757" s="5">
        <v>679</v>
      </c>
      <c r="P757" s="5" t="s">
        <v>150</v>
      </c>
      <c r="Q757" s="5" t="s">
        <v>55</v>
      </c>
      <c r="R757" s="5" t="s">
        <v>129</v>
      </c>
      <c r="S757" s="7" t="s">
        <v>814</v>
      </c>
    </row>
    <row r="758" spans="1:19" x14ac:dyDescent="0.35">
      <c r="A758" s="6">
        <v>14059226</v>
      </c>
      <c r="B758" s="5" t="s">
        <v>239</v>
      </c>
      <c r="C758" s="5" t="s">
        <v>235</v>
      </c>
      <c r="D758" s="5" t="s">
        <v>228</v>
      </c>
      <c r="E758" s="5" t="s">
        <v>133</v>
      </c>
      <c r="F758" s="5" t="s">
        <v>811</v>
      </c>
      <c r="G758" s="5">
        <v>664</v>
      </c>
      <c r="H758" s="5">
        <v>1899</v>
      </c>
      <c r="I758" s="5" t="s">
        <v>197</v>
      </c>
      <c r="J758" s="5" t="s">
        <v>237</v>
      </c>
      <c r="K758" s="5">
        <v>4.4000000000000004</v>
      </c>
      <c r="L758" s="5">
        <v>863</v>
      </c>
      <c r="M758" s="5">
        <v>0.65</v>
      </c>
      <c r="N758" s="5">
        <v>923.69459774582197</v>
      </c>
      <c r="O758" s="5">
        <v>664</v>
      </c>
      <c r="P758" s="5" t="s">
        <v>237</v>
      </c>
      <c r="Q758" s="5" t="s">
        <v>55</v>
      </c>
      <c r="R758" s="5" t="s">
        <v>129</v>
      </c>
      <c r="S758" s="7" t="s">
        <v>812</v>
      </c>
    </row>
    <row r="759" spans="1:19" x14ac:dyDescent="0.35">
      <c r="A759" s="6">
        <v>13404396</v>
      </c>
      <c r="B759" s="5" t="s">
        <v>143</v>
      </c>
      <c r="C759" s="5" t="s">
        <v>235</v>
      </c>
      <c r="D759" s="5" t="s">
        <v>168</v>
      </c>
      <c r="E759" s="5" t="s">
        <v>133</v>
      </c>
      <c r="F759" s="5" t="s">
        <v>809</v>
      </c>
      <c r="G759" s="5">
        <v>599</v>
      </c>
      <c r="H759" s="5">
        <v>999</v>
      </c>
      <c r="I759" s="5" t="s">
        <v>131</v>
      </c>
      <c r="J759" s="5" t="s">
        <v>177</v>
      </c>
      <c r="K759" s="5">
        <v>4.3</v>
      </c>
      <c r="L759" s="5">
        <v>863</v>
      </c>
      <c r="M759" s="5">
        <v>0.4</v>
      </c>
      <c r="N759" s="5">
        <v>923.69459774582197</v>
      </c>
      <c r="O759" s="5">
        <v>599</v>
      </c>
      <c r="P759" s="5" t="s">
        <v>177</v>
      </c>
      <c r="Q759" s="5" t="s">
        <v>57</v>
      </c>
      <c r="R759" s="5" t="s">
        <v>129</v>
      </c>
      <c r="S759" s="7" t="s">
        <v>810</v>
      </c>
    </row>
    <row r="760" spans="1:19" x14ac:dyDescent="0.35">
      <c r="A760" s="6">
        <v>9657975</v>
      </c>
      <c r="B760" s="5" t="s">
        <v>807</v>
      </c>
      <c r="C760" s="5" t="s">
        <v>163</v>
      </c>
      <c r="D760" s="5" t="s">
        <v>806</v>
      </c>
      <c r="E760" s="5" t="s">
        <v>133</v>
      </c>
      <c r="F760" s="5" t="s">
        <v>805</v>
      </c>
      <c r="G760" s="5"/>
      <c r="H760" s="5">
        <v>1294</v>
      </c>
      <c r="I760" s="5" t="s">
        <v>209</v>
      </c>
      <c r="J760" s="5" t="s">
        <v>212</v>
      </c>
      <c r="K760" s="5">
        <v>4.3</v>
      </c>
      <c r="L760" s="5">
        <v>863</v>
      </c>
      <c r="M760" s="5">
        <v>0.5</v>
      </c>
      <c r="N760" s="5">
        <v>1790.0851063829789</v>
      </c>
      <c r="O760" s="5"/>
      <c r="P760" s="5" t="s">
        <v>212</v>
      </c>
      <c r="Q760" s="5" t="s">
        <v>57</v>
      </c>
      <c r="R760" s="5" t="s">
        <v>129</v>
      </c>
      <c r="S760" s="7" t="s">
        <v>808</v>
      </c>
    </row>
    <row r="761" spans="1:19" x14ac:dyDescent="0.35">
      <c r="A761" s="6">
        <v>12278684</v>
      </c>
      <c r="B761" s="5" t="s">
        <v>250</v>
      </c>
      <c r="C761" s="5" t="s">
        <v>163</v>
      </c>
      <c r="D761" s="5" t="s">
        <v>162</v>
      </c>
      <c r="E761" s="5" t="s">
        <v>133</v>
      </c>
      <c r="F761" s="5" t="s">
        <v>803</v>
      </c>
      <c r="G761" s="5"/>
      <c r="H761" s="5">
        <v>2699</v>
      </c>
      <c r="I761" s="5" t="s">
        <v>205</v>
      </c>
      <c r="J761" s="5" t="s">
        <v>222</v>
      </c>
      <c r="K761" s="5">
        <v>4.2</v>
      </c>
      <c r="L761" s="5">
        <v>863</v>
      </c>
      <c r="M761" s="5">
        <v>0.35</v>
      </c>
      <c r="N761" s="5">
        <v>1790.0851063829789</v>
      </c>
      <c r="O761" s="5"/>
      <c r="P761" s="5" t="s">
        <v>222</v>
      </c>
      <c r="Q761" s="5" t="s">
        <v>57</v>
      </c>
      <c r="R761" s="5" t="s">
        <v>129</v>
      </c>
      <c r="S761" s="7" t="s">
        <v>804</v>
      </c>
    </row>
    <row r="762" spans="1:19" x14ac:dyDescent="0.35">
      <c r="A762" s="6">
        <v>11900346</v>
      </c>
      <c r="B762" s="5" t="s">
        <v>339</v>
      </c>
      <c r="C762" s="5" t="s">
        <v>163</v>
      </c>
      <c r="D762" s="5" t="s">
        <v>77</v>
      </c>
      <c r="E762" s="5" t="s">
        <v>133</v>
      </c>
      <c r="F762" s="5" t="s">
        <v>801</v>
      </c>
      <c r="G762" s="5"/>
      <c r="H762" s="5">
        <v>699</v>
      </c>
      <c r="I762" s="5" t="s">
        <v>131</v>
      </c>
      <c r="J762" s="5" t="s">
        <v>192</v>
      </c>
      <c r="K762" s="5">
        <v>4.3</v>
      </c>
      <c r="L762" s="5">
        <v>863</v>
      </c>
      <c r="M762" s="5">
        <v>0.4</v>
      </c>
      <c r="N762" s="5">
        <v>1790.0851063829789</v>
      </c>
      <c r="O762" s="5"/>
      <c r="P762" s="5" t="s">
        <v>192</v>
      </c>
      <c r="Q762" s="5" t="s">
        <v>57</v>
      </c>
      <c r="R762" s="5" t="s">
        <v>129</v>
      </c>
      <c r="S762" s="7" t="s">
        <v>802</v>
      </c>
    </row>
    <row r="763" spans="1:19" x14ac:dyDescent="0.35">
      <c r="A763" s="6">
        <v>5395406</v>
      </c>
      <c r="B763" s="5" t="s">
        <v>143</v>
      </c>
      <c r="C763" s="5" t="s">
        <v>189</v>
      </c>
      <c r="D763" s="5" t="s">
        <v>199</v>
      </c>
      <c r="E763" s="5" t="s">
        <v>140</v>
      </c>
      <c r="F763" s="5" t="s">
        <v>799</v>
      </c>
      <c r="G763" s="5">
        <v>674</v>
      </c>
      <c r="H763" s="5">
        <v>1499</v>
      </c>
      <c r="I763" s="5" t="s">
        <v>178</v>
      </c>
      <c r="J763" s="5" t="s">
        <v>212</v>
      </c>
      <c r="K763" s="5">
        <v>3.9</v>
      </c>
      <c r="L763" s="5">
        <v>862</v>
      </c>
      <c r="M763" s="5">
        <v>0.55000000000000004</v>
      </c>
      <c r="N763" s="5">
        <v>1351.2078667815099</v>
      </c>
      <c r="O763" s="5">
        <v>674</v>
      </c>
      <c r="P763" s="5" t="s">
        <v>212</v>
      </c>
      <c r="Q763" s="5" t="s">
        <v>55</v>
      </c>
      <c r="R763" s="5" t="s">
        <v>129</v>
      </c>
      <c r="S763" s="7" t="s">
        <v>800</v>
      </c>
    </row>
    <row r="764" spans="1:19" x14ac:dyDescent="0.35">
      <c r="A764" s="6">
        <v>10248015</v>
      </c>
      <c r="B764" s="5" t="s">
        <v>355</v>
      </c>
      <c r="C764" s="5" t="s">
        <v>156</v>
      </c>
      <c r="D764" s="5" t="s">
        <v>442</v>
      </c>
      <c r="E764" s="5" t="s">
        <v>140</v>
      </c>
      <c r="F764" s="5" t="s">
        <v>797</v>
      </c>
      <c r="G764" s="5"/>
      <c r="H764" s="5">
        <v>538</v>
      </c>
      <c r="I764" s="5"/>
      <c r="J764" s="5" t="s">
        <v>352</v>
      </c>
      <c r="K764" s="5">
        <v>4</v>
      </c>
      <c r="L764" s="5">
        <v>862</v>
      </c>
      <c r="M764" s="5"/>
      <c r="N764" s="5">
        <v>691.83976143141149</v>
      </c>
      <c r="O764" s="5">
        <v>691.83976143141149</v>
      </c>
      <c r="P764" s="5" t="s">
        <v>352</v>
      </c>
      <c r="Q764" s="5" t="s">
        <v>57</v>
      </c>
      <c r="R764" s="5" t="s">
        <v>129</v>
      </c>
      <c r="S764" s="7" t="s">
        <v>798</v>
      </c>
    </row>
    <row r="765" spans="1:19" x14ac:dyDescent="0.35">
      <c r="A765" s="6">
        <v>2483497</v>
      </c>
      <c r="B765" s="5" t="s">
        <v>143</v>
      </c>
      <c r="C765" s="5" t="s">
        <v>235</v>
      </c>
      <c r="D765" s="5" t="s">
        <v>194</v>
      </c>
      <c r="E765" s="5" t="s">
        <v>133</v>
      </c>
      <c r="F765" s="5" t="s">
        <v>795</v>
      </c>
      <c r="G765" s="5"/>
      <c r="H765" s="5">
        <v>1399</v>
      </c>
      <c r="I765" s="5"/>
      <c r="J765" s="5" t="s">
        <v>196</v>
      </c>
      <c r="K765" s="5">
        <v>4.0999999999999996</v>
      </c>
      <c r="L765" s="5">
        <v>862</v>
      </c>
      <c r="M765" s="5"/>
      <c r="N765" s="5">
        <v>923.69459774582197</v>
      </c>
      <c r="O765" s="5">
        <v>923.69459774582197</v>
      </c>
      <c r="P765" s="5" t="s">
        <v>196</v>
      </c>
      <c r="Q765" s="5" t="s">
        <v>57</v>
      </c>
      <c r="R765" s="5" t="s">
        <v>129</v>
      </c>
      <c r="S765" s="7" t="s">
        <v>796</v>
      </c>
    </row>
    <row r="766" spans="1:19" x14ac:dyDescent="0.35">
      <c r="A766" s="6">
        <v>1864296</v>
      </c>
      <c r="B766" s="5" t="s">
        <v>152</v>
      </c>
      <c r="C766" s="5" t="s">
        <v>75</v>
      </c>
      <c r="D766" s="5" t="s">
        <v>568</v>
      </c>
      <c r="E766" s="5" t="s">
        <v>133</v>
      </c>
      <c r="F766" s="5" t="s">
        <v>793</v>
      </c>
      <c r="G766" s="5">
        <v>749</v>
      </c>
      <c r="H766" s="5">
        <v>1499</v>
      </c>
      <c r="I766" s="5" t="s">
        <v>209</v>
      </c>
      <c r="J766" s="5" t="s">
        <v>196</v>
      </c>
      <c r="K766" s="5">
        <v>4.5</v>
      </c>
      <c r="L766" s="5">
        <v>862</v>
      </c>
      <c r="M766" s="5">
        <v>0.5</v>
      </c>
      <c r="N766" s="5">
        <v>1097.3783736315199</v>
      </c>
      <c r="O766" s="5">
        <v>749</v>
      </c>
      <c r="P766" s="5" t="s">
        <v>196</v>
      </c>
      <c r="Q766" s="5" t="s">
        <v>57</v>
      </c>
      <c r="R766" s="5" t="s">
        <v>129</v>
      </c>
      <c r="S766" s="7" t="s">
        <v>794</v>
      </c>
    </row>
    <row r="767" spans="1:19" x14ac:dyDescent="0.35">
      <c r="A767" s="6">
        <v>17381412</v>
      </c>
      <c r="B767" s="5" t="s">
        <v>250</v>
      </c>
      <c r="C767" s="5" t="s">
        <v>163</v>
      </c>
      <c r="D767" s="5" t="s">
        <v>77</v>
      </c>
      <c r="E767" s="5" t="s">
        <v>133</v>
      </c>
      <c r="F767" s="5" t="s">
        <v>791</v>
      </c>
      <c r="G767" s="5"/>
      <c r="H767" s="5">
        <v>1198</v>
      </c>
      <c r="I767" s="5" t="s">
        <v>209</v>
      </c>
      <c r="J767" s="5" t="s">
        <v>192</v>
      </c>
      <c r="K767" s="5">
        <v>4.2</v>
      </c>
      <c r="L767" s="5">
        <v>862</v>
      </c>
      <c r="M767" s="5">
        <v>0.5</v>
      </c>
      <c r="N767" s="5">
        <v>1790.0851063829789</v>
      </c>
      <c r="O767" s="5"/>
      <c r="P767" s="5" t="s">
        <v>192</v>
      </c>
      <c r="Q767" s="5" t="s">
        <v>57</v>
      </c>
      <c r="R767" s="5" t="s">
        <v>129</v>
      </c>
      <c r="S767" s="7" t="s">
        <v>792</v>
      </c>
    </row>
    <row r="768" spans="1:19" x14ac:dyDescent="0.35">
      <c r="A768" s="6">
        <v>9168683</v>
      </c>
      <c r="B768" s="5" t="s">
        <v>355</v>
      </c>
      <c r="C768" s="5" t="s">
        <v>156</v>
      </c>
      <c r="D768" s="5" t="s">
        <v>789</v>
      </c>
      <c r="E768" s="5" t="s">
        <v>140</v>
      </c>
      <c r="F768" s="5" t="s">
        <v>788</v>
      </c>
      <c r="G768" s="5"/>
      <c r="H768" s="5">
        <v>519</v>
      </c>
      <c r="I768" s="5"/>
      <c r="J768" s="5" t="s">
        <v>352</v>
      </c>
      <c r="K768" s="5">
        <v>4.3</v>
      </c>
      <c r="L768" s="5">
        <v>861</v>
      </c>
      <c r="M768" s="5"/>
      <c r="N768" s="5">
        <v>691.83976143141149</v>
      </c>
      <c r="O768" s="5">
        <v>691.83976143141149</v>
      </c>
      <c r="P768" s="5" t="s">
        <v>352</v>
      </c>
      <c r="Q768" s="5" t="s">
        <v>57</v>
      </c>
      <c r="R768" s="5" t="s">
        <v>129</v>
      </c>
      <c r="S768" s="7" t="s">
        <v>790</v>
      </c>
    </row>
    <row r="769" spans="1:19" x14ac:dyDescent="0.35">
      <c r="A769" s="6">
        <v>8923763</v>
      </c>
      <c r="B769" s="5" t="s">
        <v>397</v>
      </c>
      <c r="C769" s="5" t="s">
        <v>142</v>
      </c>
      <c r="D769" s="5" t="s">
        <v>77</v>
      </c>
      <c r="E769" s="5" t="s">
        <v>140</v>
      </c>
      <c r="F769" s="5" t="s">
        <v>786</v>
      </c>
      <c r="G769" s="5">
        <v>479</v>
      </c>
      <c r="H769" s="5">
        <v>1199</v>
      </c>
      <c r="I769" s="5" t="s">
        <v>223</v>
      </c>
      <c r="J769" s="5" t="s">
        <v>150</v>
      </c>
      <c r="K769" s="5">
        <v>4.0999999999999996</v>
      </c>
      <c r="L769" s="5">
        <v>861</v>
      </c>
      <c r="M769" s="5">
        <v>0.6</v>
      </c>
      <c r="N769" s="5">
        <v>1138.6340612208289</v>
      </c>
      <c r="O769" s="5">
        <v>479</v>
      </c>
      <c r="P769" s="5" t="s">
        <v>150</v>
      </c>
      <c r="Q769" s="5" t="s">
        <v>55</v>
      </c>
      <c r="R769" s="5" t="s">
        <v>129</v>
      </c>
      <c r="S769" s="7" t="s">
        <v>787</v>
      </c>
    </row>
    <row r="770" spans="1:19" x14ac:dyDescent="0.35">
      <c r="A770" s="6">
        <v>2184630</v>
      </c>
      <c r="B770" s="5" t="s">
        <v>250</v>
      </c>
      <c r="C770" s="5" t="s">
        <v>142</v>
      </c>
      <c r="D770" s="5" t="s">
        <v>141</v>
      </c>
      <c r="E770" s="5" t="s">
        <v>140</v>
      </c>
      <c r="F770" s="5" t="s">
        <v>784</v>
      </c>
      <c r="G770" s="5">
        <v>759</v>
      </c>
      <c r="H770" s="5">
        <v>1899</v>
      </c>
      <c r="I770" s="5" t="s">
        <v>223</v>
      </c>
      <c r="J770" s="5" t="s">
        <v>348</v>
      </c>
      <c r="K770" s="5">
        <v>4.3</v>
      </c>
      <c r="L770" s="5">
        <v>861</v>
      </c>
      <c r="M770" s="5">
        <v>0.6</v>
      </c>
      <c r="N770" s="5">
        <v>1138.6340612208289</v>
      </c>
      <c r="O770" s="5">
        <v>759</v>
      </c>
      <c r="P770" s="5" t="s">
        <v>348</v>
      </c>
      <c r="Q770" s="5" t="s">
        <v>55</v>
      </c>
      <c r="R770" s="5" t="s">
        <v>129</v>
      </c>
      <c r="S770" s="7" t="s">
        <v>785</v>
      </c>
    </row>
    <row r="771" spans="1:19" x14ac:dyDescent="0.35">
      <c r="A771" s="6">
        <v>2076190</v>
      </c>
      <c r="B771" s="5" t="s">
        <v>169</v>
      </c>
      <c r="C771" s="5" t="s">
        <v>135</v>
      </c>
      <c r="D771" s="5" t="s">
        <v>168</v>
      </c>
      <c r="E771" s="5" t="s">
        <v>133</v>
      </c>
      <c r="F771" s="5" t="s">
        <v>782</v>
      </c>
      <c r="G771" s="5">
        <v>734</v>
      </c>
      <c r="H771" s="5">
        <v>2099</v>
      </c>
      <c r="I771" s="5" t="s">
        <v>197</v>
      </c>
      <c r="J771" s="5" t="s">
        <v>150</v>
      </c>
      <c r="K771" s="5">
        <v>3.8</v>
      </c>
      <c r="L771" s="5">
        <v>861</v>
      </c>
      <c r="M771" s="5">
        <v>0.65</v>
      </c>
      <c r="N771" s="5">
        <v>1493.337491012077</v>
      </c>
      <c r="O771" s="5">
        <v>734</v>
      </c>
      <c r="P771" s="5" t="s">
        <v>150</v>
      </c>
      <c r="Q771" s="5" t="s">
        <v>55</v>
      </c>
      <c r="R771" s="5" t="s">
        <v>129</v>
      </c>
      <c r="S771" s="7" t="s">
        <v>783</v>
      </c>
    </row>
    <row r="772" spans="1:19" x14ac:dyDescent="0.35">
      <c r="A772" s="6">
        <v>17381548</v>
      </c>
      <c r="B772" s="5" t="s">
        <v>250</v>
      </c>
      <c r="C772" s="5" t="s">
        <v>163</v>
      </c>
      <c r="D772" s="5" t="s">
        <v>77</v>
      </c>
      <c r="E772" s="5" t="s">
        <v>133</v>
      </c>
      <c r="F772" s="5" t="s">
        <v>780</v>
      </c>
      <c r="G772" s="5"/>
      <c r="H772" s="5">
        <v>1198</v>
      </c>
      <c r="I772" s="5" t="s">
        <v>209</v>
      </c>
      <c r="J772" s="5" t="s">
        <v>779</v>
      </c>
      <c r="K772" s="5">
        <v>4.3</v>
      </c>
      <c r="L772" s="5">
        <v>861</v>
      </c>
      <c r="M772" s="5">
        <v>0.5</v>
      </c>
      <c r="N772" s="5">
        <v>1790.0851063829789</v>
      </c>
      <c r="O772" s="5"/>
      <c r="P772" s="5" t="s">
        <v>779</v>
      </c>
      <c r="Q772" s="5" t="s">
        <v>57</v>
      </c>
      <c r="R772" s="5" t="s">
        <v>129</v>
      </c>
      <c r="S772" s="7" t="s">
        <v>781</v>
      </c>
    </row>
    <row r="773" spans="1:19" x14ac:dyDescent="0.35">
      <c r="A773" s="6">
        <v>14483862</v>
      </c>
      <c r="B773" s="5" t="s">
        <v>777</v>
      </c>
      <c r="C773" s="5" t="s">
        <v>163</v>
      </c>
      <c r="D773" s="5" t="s">
        <v>228</v>
      </c>
      <c r="E773" s="5" t="s">
        <v>133</v>
      </c>
      <c r="F773" s="5" t="s">
        <v>776</v>
      </c>
      <c r="G773" s="5"/>
      <c r="H773" s="5">
        <v>2999</v>
      </c>
      <c r="I773" s="5" t="s">
        <v>178</v>
      </c>
      <c r="J773" s="5" t="s">
        <v>196</v>
      </c>
      <c r="K773" s="5">
        <v>4.4000000000000004</v>
      </c>
      <c r="L773" s="5">
        <v>861</v>
      </c>
      <c r="M773" s="5">
        <v>0.55000000000000004</v>
      </c>
      <c r="N773" s="5">
        <v>1790.0851063829789</v>
      </c>
      <c r="O773" s="5"/>
      <c r="P773" s="5" t="s">
        <v>196</v>
      </c>
      <c r="Q773" s="5" t="s">
        <v>55</v>
      </c>
      <c r="R773" s="5" t="s">
        <v>129</v>
      </c>
      <c r="S773" s="7" t="s">
        <v>778</v>
      </c>
    </row>
    <row r="774" spans="1:19" x14ac:dyDescent="0.35">
      <c r="A774" s="6">
        <v>11900390</v>
      </c>
      <c r="B774" s="5" t="s">
        <v>339</v>
      </c>
      <c r="C774" s="5" t="s">
        <v>163</v>
      </c>
      <c r="D774" s="5" t="s">
        <v>77</v>
      </c>
      <c r="E774" s="5" t="s">
        <v>133</v>
      </c>
      <c r="F774" s="5" t="s">
        <v>774</v>
      </c>
      <c r="G774" s="5"/>
      <c r="H774" s="5">
        <v>599</v>
      </c>
      <c r="I774" s="5" t="s">
        <v>131</v>
      </c>
      <c r="J774" s="5" t="s">
        <v>192</v>
      </c>
      <c r="K774" s="5">
        <v>4.2</v>
      </c>
      <c r="L774" s="5">
        <v>861</v>
      </c>
      <c r="M774" s="5">
        <v>0.4</v>
      </c>
      <c r="N774" s="5">
        <v>1790.0851063829789</v>
      </c>
      <c r="O774" s="5"/>
      <c r="P774" s="5" t="s">
        <v>192</v>
      </c>
      <c r="Q774" s="5" t="s">
        <v>57</v>
      </c>
      <c r="R774" s="5" t="s">
        <v>129</v>
      </c>
      <c r="S774" s="7" t="s">
        <v>775</v>
      </c>
    </row>
    <row r="775" spans="1:19" x14ac:dyDescent="0.35">
      <c r="A775" s="6">
        <v>2291335</v>
      </c>
      <c r="B775" s="5" t="s">
        <v>250</v>
      </c>
      <c r="C775" s="5" t="s">
        <v>189</v>
      </c>
      <c r="D775" s="5" t="s">
        <v>188</v>
      </c>
      <c r="E775" s="5" t="s">
        <v>140</v>
      </c>
      <c r="F775" s="5" t="s">
        <v>469</v>
      </c>
      <c r="G775" s="5">
        <v>1264</v>
      </c>
      <c r="H775" s="5">
        <v>2299</v>
      </c>
      <c r="I775" s="5" t="s">
        <v>36</v>
      </c>
      <c r="J775" s="5" t="s">
        <v>408</v>
      </c>
      <c r="K775" s="5">
        <v>3.7</v>
      </c>
      <c r="L775" s="5">
        <v>860</v>
      </c>
      <c r="M775" s="5">
        <v>0.45</v>
      </c>
      <c r="N775" s="5">
        <v>1351.2078667815099</v>
      </c>
      <c r="O775" s="5">
        <v>1264</v>
      </c>
      <c r="P775" s="5" t="s">
        <v>408</v>
      </c>
      <c r="Q775" s="5" t="s">
        <v>57</v>
      </c>
      <c r="R775" s="5" t="s">
        <v>129</v>
      </c>
      <c r="S775" s="7" t="s">
        <v>773</v>
      </c>
    </row>
    <row r="776" spans="1:19" x14ac:dyDescent="0.35">
      <c r="A776" s="6">
        <v>13682898</v>
      </c>
      <c r="B776" s="5" t="s">
        <v>771</v>
      </c>
      <c r="C776" s="5" t="s">
        <v>156</v>
      </c>
      <c r="D776" s="5" t="s">
        <v>500</v>
      </c>
      <c r="E776" s="5" t="s">
        <v>140</v>
      </c>
      <c r="F776" s="5" t="s">
        <v>770</v>
      </c>
      <c r="G776" s="5">
        <v>729</v>
      </c>
      <c r="H776" s="5">
        <v>807</v>
      </c>
      <c r="I776" s="5" t="s">
        <v>769</v>
      </c>
      <c r="J776" s="5" t="s">
        <v>150</v>
      </c>
      <c r="K776" s="5">
        <v>4.3</v>
      </c>
      <c r="L776" s="5">
        <v>860</v>
      </c>
      <c r="M776" s="5">
        <v>0.78</v>
      </c>
      <c r="N776" s="5">
        <v>691.83976143141149</v>
      </c>
      <c r="O776" s="5">
        <v>729</v>
      </c>
      <c r="P776" s="5" t="s">
        <v>150</v>
      </c>
      <c r="Q776" s="5" t="s">
        <v>55</v>
      </c>
      <c r="R776" s="5" t="s">
        <v>129</v>
      </c>
      <c r="S776" s="7" t="s">
        <v>772</v>
      </c>
    </row>
    <row r="777" spans="1:19" x14ac:dyDescent="0.35">
      <c r="A777" s="6">
        <v>10817836</v>
      </c>
      <c r="B777" s="5" t="s">
        <v>767</v>
      </c>
      <c r="C777" s="5" t="s">
        <v>135</v>
      </c>
      <c r="D777" s="5" t="s">
        <v>168</v>
      </c>
      <c r="E777" s="5" t="s">
        <v>133</v>
      </c>
      <c r="F777" s="5" t="s">
        <v>766</v>
      </c>
      <c r="G777" s="5">
        <v>719</v>
      </c>
      <c r="H777" s="5">
        <v>1599</v>
      </c>
      <c r="I777" s="5" t="s">
        <v>178</v>
      </c>
      <c r="J777" s="5" t="s">
        <v>150</v>
      </c>
      <c r="K777" s="5">
        <v>4.2</v>
      </c>
      <c r="L777" s="5">
        <v>860</v>
      </c>
      <c r="M777" s="5">
        <v>0.55000000000000004</v>
      </c>
      <c r="N777" s="5">
        <v>1493.337491012077</v>
      </c>
      <c r="O777" s="5">
        <v>719</v>
      </c>
      <c r="P777" s="5" t="s">
        <v>150</v>
      </c>
      <c r="Q777" s="5" t="s">
        <v>55</v>
      </c>
      <c r="R777" s="5" t="s">
        <v>129</v>
      </c>
      <c r="S777" s="7" t="s">
        <v>768</v>
      </c>
    </row>
    <row r="778" spans="1:19" x14ac:dyDescent="0.35">
      <c r="A778" s="6">
        <v>10361183</v>
      </c>
      <c r="B778" s="5" t="s">
        <v>203</v>
      </c>
      <c r="C778" s="5" t="s">
        <v>135</v>
      </c>
      <c r="D778" s="5" t="s">
        <v>174</v>
      </c>
      <c r="E778" s="5" t="s">
        <v>133</v>
      </c>
      <c r="F778" s="5" t="s">
        <v>764</v>
      </c>
      <c r="G778" s="5">
        <v>899</v>
      </c>
      <c r="H778" s="5">
        <v>2999</v>
      </c>
      <c r="I778" s="5" t="s">
        <v>283</v>
      </c>
      <c r="J778" s="5" t="s">
        <v>171</v>
      </c>
      <c r="K778" s="5">
        <v>3.9</v>
      </c>
      <c r="L778" s="5">
        <v>860</v>
      </c>
      <c r="M778" s="5">
        <v>0.7</v>
      </c>
      <c r="N778" s="5">
        <v>1493.337491012077</v>
      </c>
      <c r="O778" s="5">
        <v>899</v>
      </c>
      <c r="P778" s="5" t="s">
        <v>171</v>
      </c>
      <c r="Q778" s="5" t="s">
        <v>55</v>
      </c>
      <c r="R778" s="5" t="s">
        <v>129</v>
      </c>
      <c r="S778" s="7" t="s">
        <v>765</v>
      </c>
    </row>
    <row r="779" spans="1:19" x14ac:dyDescent="0.35">
      <c r="A779" s="6">
        <v>5960830</v>
      </c>
      <c r="B779" s="5" t="s">
        <v>250</v>
      </c>
      <c r="C779" s="5" t="s">
        <v>163</v>
      </c>
      <c r="D779" s="5" t="s">
        <v>215</v>
      </c>
      <c r="E779" s="5" t="s">
        <v>133</v>
      </c>
      <c r="F779" s="5" t="s">
        <v>762</v>
      </c>
      <c r="G779" s="5"/>
      <c r="H779" s="5">
        <v>1399</v>
      </c>
      <c r="I779" s="5" t="s">
        <v>197</v>
      </c>
      <c r="J779" s="5" t="s">
        <v>196</v>
      </c>
      <c r="K779" s="5">
        <v>4.0999999999999996</v>
      </c>
      <c r="L779" s="5">
        <v>860</v>
      </c>
      <c r="M779" s="5">
        <v>0.65</v>
      </c>
      <c r="N779" s="5">
        <v>1790.0851063829789</v>
      </c>
      <c r="O779" s="5"/>
      <c r="P779" s="5" t="s">
        <v>196</v>
      </c>
      <c r="Q779" s="5" t="s">
        <v>55</v>
      </c>
      <c r="R779" s="5" t="s">
        <v>129</v>
      </c>
      <c r="S779" s="7" t="s">
        <v>763</v>
      </c>
    </row>
    <row r="780" spans="1:19" x14ac:dyDescent="0.35">
      <c r="A780" s="6">
        <v>10778666</v>
      </c>
      <c r="B780" s="5" t="s">
        <v>250</v>
      </c>
      <c r="C780" s="5" t="s">
        <v>163</v>
      </c>
      <c r="D780" s="5" t="s">
        <v>77</v>
      </c>
      <c r="E780" s="5" t="s">
        <v>133</v>
      </c>
      <c r="F780" s="5" t="s">
        <v>760</v>
      </c>
      <c r="G780" s="5"/>
      <c r="H780" s="5">
        <v>599</v>
      </c>
      <c r="I780" s="5" t="s">
        <v>197</v>
      </c>
      <c r="J780" s="5" t="s">
        <v>192</v>
      </c>
      <c r="K780" s="5">
        <v>4.0999999999999996</v>
      </c>
      <c r="L780" s="5">
        <v>860</v>
      </c>
      <c r="M780" s="5">
        <v>0.65</v>
      </c>
      <c r="N780" s="5">
        <v>1790.0851063829789</v>
      </c>
      <c r="O780" s="5"/>
      <c r="P780" s="5" t="s">
        <v>192</v>
      </c>
      <c r="Q780" s="5" t="s">
        <v>55</v>
      </c>
      <c r="R780" s="5" t="s">
        <v>129</v>
      </c>
      <c r="S780" s="7" t="s">
        <v>761</v>
      </c>
    </row>
    <row r="781" spans="1:19" x14ac:dyDescent="0.35">
      <c r="A781" s="6">
        <v>2343637</v>
      </c>
      <c r="B781" s="5" t="s">
        <v>190</v>
      </c>
      <c r="C781" s="5" t="s">
        <v>189</v>
      </c>
      <c r="D781" s="5" t="s">
        <v>188</v>
      </c>
      <c r="E781" s="5" t="s">
        <v>140</v>
      </c>
      <c r="F781" s="5" t="s">
        <v>758</v>
      </c>
      <c r="G781" s="5">
        <v>610</v>
      </c>
      <c r="H781" s="5">
        <v>1649</v>
      </c>
      <c r="I781" s="5" t="s">
        <v>392</v>
      </c>
      <c r="J781" s="5" t="s">
        <v>185</v>
      </c>
      <c r="K781" s="5">
        <v>4</v>
      </c>
      <c r="L781" s="5">
        <v>859</v>
      </c>
      <c r="M781" s="5">
        <v>0.63</v>
      </c>
      <c r="N781" s="5">
        <v>1351.2078667815099</v>
      </c>
      <c r="O781" s="5">
        <v>610</v>
      </c>
      <c r="P781" s="5" t="s">
        <v>185</v>
      </c>
      <c r="Q781" s="5" t="s">
        <v>55</v>
      </c>
      <c r="R781" s="5" t="s">
        <v>129</v>
      </c>
      <c r="S781" s="7" t="s">
        <v>759</v>
      </c>
    </row>
    <row r="782" spans="1:19" x14ac:dyDescent="0.35">
      <c r="A782" s="6">
        <v>11363358</v>
      </c>
      <c r="B782" s="5" t="s">
        <v>183</v>
      </c>
      <c r="C782" s="5" t="s">
        <v>142</v>
      </c>
      <c r="D782" s="5" t="s">
        <v>77</v>
      </c>
      <c r="E782" s="5" t="s">
        <v>140</v>
      </c>
      <c r="F782" s="5" t="s">
        <v>756</v>
      </c>
      <c r="G782" s="5">
        <v>599</v>
      </c>
      <c r="H782" s="5">
        <v>1199</v>
      </c>
      <c r="I782" s="5" t="s">
        <v>209</v>
      </c>
      <c r="J782" s="5" t="s">
        <v>150</v>
      </c>
      <c r="K782" s="5">
        <v>4.3</v>
      </c>
      <c r="L782" s="5">
        <v>859</v>
      </c>
      <c r="M782" s="5">
        <v>0.5</v>
      </c>
      <c r="N782" s="5">
        <v>1138.6340612208289</v>
      </c>
      <c r="O782" s="5">
        <v>599</v>
      </c>
      <c r="P782" s="5" t="s">
        <v>150</v>
      </c>
      <c r="Q782" s="5" t="s">
        <v>57</v>
      </c>
      <c r="R782" s="5" t="s">
        <v>129</v>
      </c>
      <c r="S782" s="7" t="s">
        <v>757</v>
      </c>
    </row>
    <row r="783" spans="1:19" x14ac:dyDescent="0.35">
      <c r="A783" s="6">
        <v>8426499</v>
      </c>
      <c r="B783" s="5" t="s">
        <v>183</v>
      </c>
      <c r="C783" s="5" t="s">
        <v>142</v>
      </c>
      <c r="D783" s="5" t="s">
        <v>77</v>
      </c>
      <c r="E783" s="5" t="s">
        <v>140</v>
      </c>
      <c r="F783" s="5" t="s">
        <v>754</v>
      </c>
      <c r="G783" s="5">
        <v>599</v>
      </c>
      <c r="H783" s="5">
        <v>1199</v>
      </c>
      <c r="I783" s="5" t="s">
        <v>209</v>
      </c>
      <c r="J783" s="5" t="s">
        <v>150</v>
      </c>
      <c r="K783" s="5">
        <v>4.2</v>
      </c>
      <c r="L783" s="5">
        <v>859</v>
      </c>
      <c r="M783" s="5">
        <v>0.5</v>
      </c>
      <c r="N783" s="5">
        <v>1138.6340612208289</v>
      </c>
      <c r="O783" s="5">
        <v>599</v>
      </c>
      <c r="P783" s="5" t="s">
        <v>150</v>
      </c>
      <c r="Q783" s="5" t="s">
        <v>57</v>
      </c>
      <c r="R783" s="5" t="s">
        <v>129</v>
      </c>
      <c r="S783" s="7" t="s">
        <v>755</v>
      </c>
    </row>
    <row r="784" spans="1:19" x14ac:dyDescent="0.35">
      <c r="A784" s="6">
        <v>11100708</v>
      </c>
      <c r="B784" s="5" t="s">
        <v>752</v>
      </c>
      <c r="C784" s="5" t="s">
        <v>135</v>
      </c>
      <c r="D784" s="5" t="s">
        <v>228</v>
      </c>
      <c r="E784" s="5" t="s">
        <v>133</v>
      </c>
      <c r="F784" s="5" t="s">
        <v>751</v>
      </c>
      <c r="G784" s="5">
        <v>665</v>
      </c>
      <c r="H784" s="5">
        <v>1799</v>
      </c>
      <c r="I784" s="5" t="s">
        <v>392</v>
      </c>
      <c r="J784" s="5" t="s">
        <v>750</v>
      </c>
      <c r="K784" s="5">
        <v>4.0999999999999996</v>
      </c>
      <c r="L784" s="5">
        <v>859</v>
      </c>
      <c r="M784" s="5">
        <v>0.63</v>
      </c>
      <c r="N784" s="5">
        <v>1493.337491012077</v>
      </c>
      <c r="O784" s="5">
        <v>665</v>
      </c>
      <c r="P784" s="5" t="s">
        <v>750</v>
      </c>
      <c r="Q784" s="5" t="s">
        <v>55</v>
      </c>
      <c r="R784" s="5" t="s">
        <v>129</v>
      </c>
      <c r="S784" s="7" t="s">
        <v>753</v>
      </c>
    </row>
    <row r="785" spans="1:19" x14ac:dyDescent="0.35">
      <c r="A785" s="6">
        <v>17801492</v>
      </c>
      <c r="B785" s="5" t="s">
        <v>748</v>
      </c>
      <c r="C785" s="5" t="s">
        <v>273</v>
      </c>
      <c r="D785" s="5" t="s">
        <v>373</v>
      </c>
      <c r="E785" s="5" t="s">
        <v>133</v>
      </c>
      <c r="F785" s="5" t="s">
        <v>747</v>
      </c>
      <c r="G785" s="5">
        <v>1499</v>
      </c>
      <c r="H785" s="5">
        <v>2998</v>
      </c>
      <c r="I785" s="5" t="s">
        <v>209</v>
      </c>
      <c r="J785" s="5" t="s">
        <v>746</v>
      </c>
      <c r="K785" s="5">
        <v>4.2</v>
      </c>
      <c r="L785" s="5">
        <v>859</v>
      </c>
      <c r="M785" s="5">
        <v>0.5</v>
      </c>
      <c r="N785" s="5">
        <v>811.90284167198604</v>
      </c>
      <c r="O785" s="5">
        <v>1499</v>
      </c>
      <c r="P785" s="5" t="s">
        <v>746</v>
      </c>
      <c r="Q785" s="5" t="s">
        <v>57</v>
      </c>
      <c r="R785" s="5" t="s">
        <v>129</v>
      </c>
      <c r="S785" s="7" t="s">
        <v>749</v>
      </c>
    </row>
    <row r="786" spans="1:19" x14ac:dyDescent="0.35">
      <c r="A786" s="6">
        <v>8735259</v>
      </c>
      <c r="B786" s="5" t="s">
        <v>744</v>
      </c>
      <c r="C786" s="5" t="s">
        <v>273</v>
      </c>
      <c r="D786" s="5" t="s">
        <v>442</v>
      </c>
      <c r="E786" s="5" t="s">
        <v>133</v>
      </c>
      <c r="F786" s="5" t="s">
        <v>743</v>
      </c>
      <c r="G786" s="5"/>
      <c r="H786" s="5">
        <v>699</v>
      </c>
      <c r="I786" s="5"/>
      <c r="J786" s="5" t="s">
        <v>150</v>
      </c>
      <c r="K786" s="5">
        <v>4.4000000000000004</v>
      </c>
      <c r="L786" s="5">
        <v>859</v>
      </c>
      <c r="M786" s="5"/>
      <c r="N786" s="5">
        <v>811.90284167198604</v>
      </c>
      <c r="O786" s="5">
        <v>811.90284167198604</v>
      </c>
      <c r="P786" s="5" t="s">
        <v>150</v>
      </c>
      <c r="Q786" s="5" t="s">
        <v>57</v>
      </c>
      <c r="R786" s="5" t="s">
        <v>129</v>
      </c>
      <c r="S786" s="7" t="s">
        <v>745</v>
      </c>
    </row>
    <row r="787" spans="1:19" x14ac:dyDescent="0.35">
      <c r="A787" s="6">
        <v>11560484</v>
      </c>
      <c r="B787" s="5" t="s">
        <v>183</v>
      </c>
      <c r="C787" s="5" t="s">
        <v>189</v>
      </c>
      <c r="D787" s="5" t="s">
        <v>188</v>
      </c>
      <c r="E787" s="5" t="s">
        <v>140</v>
      </c>
      <c r="F787" s="5" t="s">
        <v>741</v>
      </c>
      <c r="G787" s="5">
        <v>1429</v>
      </c>
      <c r="H787" s="5">
        <v>2199</v>
      </c>
      <c r="I787" s="5" t="s">
        <v>205</v>
      </c>
      <c r="J787" s="5" t="s">
        <v>502</v>
      </c>
      <c r="K787" s="5">
        <v>4.0999999999999996</v>
      </c>
      <c r="L787" s="5">
        <v>858</v>
      </c>
      <c r="M787" s="5">
        <v>0.35</v>
      </c>
      <c r="N787" s="5">
        <v>1351.2078667815099</v>
      </c>
      <c r="O787" s="5">
        <v>1429</v>
      </c>
      <c r="P787" s="5" t="s">
        <v>502</v>
      </c>
      <c r="Q787" s="5" t="s">
        <v>57</v>
      </c>
      <c r="R787" s="5" t="s">
        <v>129</v>
      </c>
      <c r="S787" s="7" t="s">
        <v>742</v>
      </c>
    </row>
    <row r="788" spans="1:19" x14ac:dyDescent="0.35">
      <c r="A788" s="6">
        <v>11361672</v>
      </c>
      <c r="B788" s="5" t="s">
        <v>183</v>
      </c>
      <c r="C788" s="5" t="s">
        <v>142</v>
      </c>
      <c r="D788" s="5" t="s">
        <v>141</v>
      </c>
      <c r="E788" s="5" t="s">
        <v>140</v>
      </c>
      <c r="F788" s="5" t="s">
        <v>739</v>
      </c>
      <c r="G788" s="5">
        <v>1049</v>
      </c>
      <c r="H788" s="5">
        <v>2099</v>
      </c>
      <c r="I788" s="5" t="s">
        <v>209</v>
      </c>
      <c r="J788" s="5" t="s">
        <v>208</v>
      </c>
      <c r="K788" s="5">
        <v>4.0999999999999996</v>
      </c>
      <c r="L788" s="5">
        <v>858</v>
      </c>
      <c r="M788" s="5">
        <v>0.5</v>
      </c>
      <c r="N788" s="5">
        <v>1138.6340612208289</v>
      </c>
      <c r="O788" s="5">
        <v>1049</v>
      </c>
      <c r="P788" s="5" t="s">
        <v>208</v>
      </c>
      <c r="Q788" s="5" t="s">
        <v>57</v>
      </c>
      <c r="R788" s="5" t="s">
        <v>129</v>
      </c>
      <c r="S788" s="7" t="s">
        <v>740</v>
      </c>
    </row>
    <row r="789" spans="1:19" x14ac:dyDescent="0.35">
      <c r="A789" s="6">
        <v>1959689</v>
      </c>
      <c r="B789" s="5" t="s">
        <v>169</v>
      </c>
      <c r="C789" s="5" t="s">
        <v>135</v>
      </c>
      <c r="D789" s="5" t="s">
        <v>168</v>
      </c>
      <c r="E789" s="5" t="s">
        <v>133</v>
      </c>
      <c r="F789" s="5" t="s">
        <v>737</v>
      </c>
      <c r="G789" s="5">
        <v>755</v>
      </c>
      <c r="H789" s="5">
        <v>2099</v>
      </c>
      <c r="I789" s="5" t="s">
        <v>306</v>
      </c>
      <c r="J789" s="5" t="s">
        <v>150</v>
      </c>
      <c r="K789" s="5">
        <v>4</v>
      </c>
      <c r="L789" s="5">
        <v>858</v>
      </c>
      <c r="M789" s="5">
        <v>0.64</v>
      </c>
      <c r="N789" s="5">
        <v>1493.337491012077</v>
      </c>
      <c r="O789" s="5">
        <v>755</v>
      </c>
      <c r="P789" s="5" t="s">
        <v>150</v>
      </c>
      <c r="Q789" s="5" t="s">
        <v>55</v>
      </c>
      <c r="R789" s="5" t="s">
        <v>129</v>
      </c>
      <c r="S789" s="7" t="s">
        <v>738</v>
      </c>
    </row>
    <row r="790" spans="1:19" x14ac:dyDescent="0.35">
      <c r="A790" s="6">
        <v>14440572</v>
      </c>
      <c r="B790" s="5" t="s">
        <v>735</v>
      </c>
      <c r="C790" s="5" t="s">
        <v>135</v>
      </c>
      <c r="D790" s="5" t="s">
        <v>377</v>
      </c>
      <c r="E790" s="5" t="s">
        <v>133</v>
      </c>
      <c r="F790" s="5" t="s">
        <v>734</v>
      </c>
      <c r="G790" s="5">
        <v>864</v>
      </c>
      <c r="H790" s="5">
        <v>2400</v>
      </c>
      <c r="I790" s="5" t="s">
        <v>306</v>
      </c>
      <c r="J790" s="5" t="s">
        <v>150</v>
      </c>
      <c r="K790" s="5">
        <v>4.2</v>
      </c>
      <c r="L790" s="5">
        <v>858</v>
      </c>
      <c r="M790" s="5">
        <v>0.64</v>
      </c>
      <c r="N790" s="5">
        <v>1493.337491012077</v>
      </c>
      <c r="O790" s="5">
        <v>864</v>
      </c>
      <c r="P790" s="5" t="s">
        <v>150</v>
      </c>
      <c r="Q790" s="5" t="s">
        <v>55</v>
      </c>
      <c r="R790" s="5" t="s">
        <v>129</v>
      </c>
      <c r="S790" s="7" t="s">
        <v>736</v>
      </c>
    </row>
    <row r="791" spans="1:19" x14ac:dyDescent="0.35">
      <c r="A791" s="6">
        <v>14514378</v>
      </c>
      <c r="B791" s="5" t="s">
        <v>732</v>
      </c>
      <c r="C791" s="5" t="s">
        <v>135</v>
      </c>
      <c r="D791" s="5" t="s">
        <v>377</v>
      </c>
      <c r="E791" s="5" t="s">
        <v>133</v>
      </c>
      <c r="F791" s="5" t="s">
        <v>731</v>
      </c>
      <c r="G791" s="5">
        <v>1691</v>
      </c>
      <c r="H791" s="5">
        <v>3598</v>
      </c>
      <c r="I791" s="5" t="s">
        <v>381</v>
      </c>
      <c r="J791" s="5" t="s">
        <v>730</v>
      </c>
      <c r="K791" s="5">
        <v>4.2</v>
      </c>
      <c r="L791" s="5">
        <v>858</v>
      </c>
      <c r="M791" s="5">
        <v>0.53</v>
      </c>
      <c r="N791" s="5">
        <v>1493.337491012077</v>
      </c>
      <c r="O791" s="5">
        <v>1691</v>
      </c>
      <c r="P791" s="5" t="s">
        <v>730</v>
      </c>
      <c r="Q791" s="5" t="s">
        <v>55</v>
      </c>
      <c r="R791" s="5" t="s">
        <v>129</v>
      </c>
      <c r="S791" s="7" t="s">
        <v>733</v>
      </c>
    </row>
    <row r="792" spans="1:19" x14ac:dyDescent="0.35">
      <c r="A792" s="6">
        <v>11759904</v>
      </c>
      <c r="B792" s="5" t="s">
        <v>247</v>
      </c>
      <c r="C792" s="5" t="s">
        <v>135</v>
      </c>
      <c r="D792" s="5" t="s">
        <v>246</v>
      </c>
      <c r="E792" s="5" t="s">
        <v>133</v>
      </c>
      <c r="F792" s="5" t="s">
        <v>728</v>
      </c>
      <c r="G792" s="5">
        <v>548</v>
      </c>
      <c r="H792" s="5">
        <v>899</v>
      </c>
      <c r="I792" s="5" t="s">
        <v>244</v>
      </c>
      <c r="J792" s="5" t="s">
        <v>243</v>
      </c>
      <c r="K792" s="5">
        <v>4.3</v>
      </c>
      <c r="L792" s="5">
        <v>858</v>
      </c>
      <c r="M792" s="5">
        <v>0.39</v>
      </c>
      <c r="N792" s="5">
        <v>1493.337491012077</v>
      </c>
      <c r="O792" s="5">
        <v>548</v>
      </c>
      <c r="P792" s="5" t="s">
        <v>243</v>
      </c>
      <c r="Q792" s="5" t="s">
        <v>57</v>
      </c>
      <c r="R792" s="5" t="s">
        <v>129</v>
      </c>
      <c r="S792" s="7" t="s">
        <v>729</v>
      </c>
    </row>
    <row r="793" spans="1:19" x14ac:dyDescent="0.35">
      <c r="A793" s="6">
        <v>17384836</v>
      </c>
      <c r="B793" s="5" t="s">
        <v>250</v>
      </c>
      <c r="C793" s="5" t="s">
        <v>163</v>
      </c>
      <c r="D793" s="5" t="s">
        <v>77</v>
      </c>
      <c r="E793" s="5" t="s">
        <v>133</v>
      </c>
      <c r="F793" s="5" t="s">
        <v>263</v>
      </c>
      <c r="G793" s="5"/>
      <c r="H793" s="5">
        <v>1398</v>
      </c>
      <c r="I793" s="5" t="s">
        <v>209</v>
      </c>
      <c r="J793" s="5" t="s">
        <v>192</v>
      </c>
      <c r="K793" s="5">
        <v>4.3</v>
      </c>
      <c r="L793" s="5">
        <v>858</v>
      </c>
      <c r="M793" s="5">
        <v>0.5</v>
      </c>
      <c r="N793" s="5">
        <v>1790.0851063829789</v>
      </c>
      <c r="O793" s="5"/>
      <c r="P793" s="5" t="s">
        <v>192</v>
      </c>
      <c r="Q793" s="5" t="s">
        <v>57</v>
      </c>
      <c r="R793" s="5" t="s">
        <v>129</v>
      </c>
      <c r="S793" s="7" t="s">
        <v>727</v>
      </c>
    </row>
    <row r="794" spans="1:19" x14ac:dyDescent="0.35">
      <c r="A794" s="6">
        <v>8746069</v>
      </c>
      <c r="B794" s="5" t="s">
        <v>169</v>
      </c>
      <c r="C794" s="5" t="s">
        <v>163</v>
      </c>
      <c r="D794" s="5" t="s">
        <v>228</v>
      </c>
      <c r="E794" s="5" t="s">
        <v>133</v>
      </c>
      <c r="F794" s="5" t="s">
        <v>725</v>
      </c>
      <c r="G794" s="5"/>
      <c r="H794" s="5">
        <v>2699</v>
      </c>
      <c r="I794" s="5" t="s">
        <v>223</v>
      </c>
      <c r="J794" s="5" t="s">
        <v>150</v>
      </c>
      <c r="K794" s="5">
        <v>4</v>
      </c>
      <c r="L794" s="5">
        <v>858</v>
      </c>
      <c r="M794" s="5">
        <v>0.6</v>
      </c>
      <c r="N794" s="5">
        <v>1790.0851063829789</v>
      </c>
      <c r="O794" s="5"/>
      <c r="P794" s="5" t="s">
        <v>150</v>
      </c>
      <c r="Q794" s="5" t="s">
        <v>55</v>
      </c>
      <c r="R794" s="5" t="s">
        <v>129</v>
      </c>
      <c r="S794" s="7" t="s">
        <v>726</v>
      </c>
    </row>
    <row r="795" spans="1:19" x14ac:dyDescent="0.35">
      <c r="A795" s="6">
        <v>10778698</v>
      </c>
      <c r="B795" s="5" t="s">
        <v>250</v>
      </c>
      <c r="C795" s="5" t="s">
        <v>163</v>
      </c>
      <c r="D795" s="5" t="s">
        <v>77</v>
      </c>
      <c r="E795" s="5" t="s">
        <v>133</v>
      </c>
      <c r="F795" s="5" t="s">
        <v>723</v>
      </c>
      <c r="G795" s="5"/>
      <c r="H795" s="5">
        <v>599</v>
      </c>
      <c r="I795" s="5" t="s">
        <v>178</v>
      </c>
      <c r="J795" s="5" t="s">
        <v>192</v>
      </c>
      <c r="K795" s="5">
        <v>4.3</v>
      </c>
      <c r="L795" s="5">
        <v>858</v>
      </c>
      <c r="M795" s="5">
        <v>0.55000000000000004</v>
      </c>
      <c r="N795" s="5">
        <v>1790.0851063829789</v>
      </c>
      <c r="O795" s="5"/>
      <c r="P795" s="5" t="s">
        <v>192</v>
      </c>
      <c r="Q795" s="5" t="s">
        <v>55</v>
      </c>
      <c r="R795" s="5" t="s">
        <v>129</v>
      </c>
      <c r="S795" s="7" t="s">
        <v>724</v>
      </c>
    </row>
    <row r="796" spans="1:19" x14ac:dyDescent="0.35">
      <c r="A796" s="6">
        <v>10969750</v>
      </c>
      <c r="B796" s="5" t="s">
        <v>250</v>
      </c>
      <c r="C796" s="5" t="s">
        <v>163</v>
      </c>
      <c r="D796" s="5" t="s">
        <v>77</v>
      </c>
      <c r="E796" s="5" t="s">
        <v>133</v>
      </c>
      <c r="F796" s="5" t="s">
        <v>721</v>
      </c>
      <c r="G796" s="5"/>
      <c r="H796" s="5">
        <v>899</v>
      </c>
      <c r="I796" s="5" t="s">
        <v>223</v>
      </c>
      <c r="J796" s="5" t="s">
        <v>192</v>
      </c>
      <c r="K796" s="5">
        <v>4.3</v>
      </c>
      <c r="L796" s="5">
        <v>858</v>
      </c>
      <c r="M796" s="5">
        <v>0.6</v>
      </c>
      <c r="N796" s="5">
        <v>1790.0851063829789</v>
      </c>
      <c r="O796" s="5"/>
      <c r="P796" s="5" t="s">
        <v>192</v>
      </c>
      <c r="Q796" s="5" t="s">
        <v>55</v>
      </c>
      <c r="R796" s="5" t="s">
        <v>129</v>
      </c>
      <c r="S796" s="7" t="s">
        <v>722</v>
      </c>
    </row>
    <row r="797" spans="1:19" x14ac:dyDescent="0.35">
      <c r="A797" s="6">
        <v>10970304</v>
      </c>
      <c r="B797" s="5" t="s">
        <v>250</v>
      </c>
      <c r="C797" s="5" t="s">
        <v>163</v>
      </c>
      <c r="D797" s="5" t="s">
        <v>77</v>
      </c>
      <c r="E797" s="5" t="s">
        <v>133</v>
      </c>
      <c r="F797" s="5" t="s">
        <v>719</v>
      </c>
      <c r="G797" s="5"/>
      <c r="H797" s="5">
        <v>899</v>
      </c>
      <c r="I797" s="5" t="s">
        <v>223</v>
      </c>
      <c r="J797" s="5" t="s">
        <v>192</v>
      </c>
      <c r="K797" s="5">
        <v>4.0999999999999996</v>
      </c>
      <c r="L797" s="5">
        <v>858</v>
      </c>
      <c r="M797" s="5">
        <v>0.6</v>
      </c>
      <c r="N797" s="5">
        <v>1790.0851063829789</v>
      </c>
      <c r="O797" s="5"/>
      <c r="P797" s="5" t="s">
        <v>192</v>
      </c>
      <c r="Q797" s="5" t="s">
        <v>55</v>
      </c>
      <c r="R797" s="5" t="s">
        <v>129</v>
      </c>
      <c r="S797" s="7" t="s">
        <v>720</v>
      </c>
    </row>
    <row r="798" spans="1:19" x14ac:dyDescent="0.35">
      <c r="A798" s="6">
        <v>10367061</v>
      </c>
      <c r="B798" s="5" t="s">
        <v>717</v>
      </c>
      <c r="C798" s="5" t="s">
        <v>163</v>
      </c>
      <c r="D798" s="5" t="s">
        <v>194</v>
      </c>
      <c r="E798" s="5" t="s">
        <v>133</v>
      </c>
      <c r="F798" s="5" t="s">
        <v>716</v>
      </c>
      <c r="G798" s="5"/>
      <c r="H798" s="5">
        <v>799</v>
      </c>
      <c r="I798" s="5"/>
      <c r="J798" s="5" t="s">
        <v>715</v>
      </c>
      <c r="K798" s="5">
        <v>4.3</v>
      </c>
      <c r="L798" s="5">
        <v>858</v>
      </c>
      <c r="M798" s="5"/>
      <c r="N798" s="5">
        <v>1790.0851063829789</v>
      </c>
      <c r="O798" s="5">
        <v>1790.0851063829789</v>
      </c>
      <c r="P798" s="5" t="s">
        <v>715</v>
      </c>
      <c r="Q798" s="5" t="s">
        <v>57</v>
      </c>
      <c r="R798" s="5" t="s">
        <v>129</v>
      </c>
      <c r="S798" s="7" t="s">
        <v>718</v>
      </c>
    </row>
    <row r="799" spans="1:19" x14ac:dyDescent="0.35">
      <c r="A799" s="6">
        <v>12212318</v>
      </c>
      <c r="B799" s="5" t="s">
        <v>152</v>
      </c>
      <c r="C799" s="5" t="s">
        <v>189</v>
      </c>
      <c r="D799" s="5" t="s">
        <v>418</v>
      </c>
      <c r="E799" s="5" t="s">
        <v>140</v>
      </c>
      <c r="F799" s="5" t="s">
        <v>713</v>
      </c>
      <c r="G799" s="5">
        <v>639</v>
      </c>
      <c r="H799" s="5">
        <v>1599</v>
      </c>
      <c r="I799" s="5" t="s">
        <v>223</v>
      </c>
      <c r="J799" s="5" t="s">
        <v>408</v>
      </c>
      <c r="K799" s="5">
        <v>4.4000000000000004</v>
      </c>
      <c r="L799" s="5">
        <v>857</v>
      </c>
      <c r="M799" s="5">
        <v>0.6</v>
      </c>
      <c r="N799" s="5">
        <v>1351.2078667815099</v>
      </c>
      <c r="O799" s="5">
        <v>639</v>
      </c>
      <c r="P799" s="5" t="s">
        <v>408</v>
      </c>
      <c r="Q799" s="5" t="s">
        <v>55</v>
      </c>
      <c r="R799" s="5" t="s">
        <v>129</v>
      </c>
      <c r="S799" s="7" t="s">
        <v>714</v>
      </c>
    </row>
    <row r="800" spans="1:19" x14ac:dyDescent="0.35">
      <c r="A800" s="6">
        <v>8325363</v>
      </c>
      <c r="B800" s="5" t="s">
        <v>225</v>
      </c>
      <c r="C800" s="5" t="s">
        <v>142</v>
      </c>
      <c r="D800" s="5" t="s">
        <v>77</v>
      </c>
      <c r="E800" s="5" t="s">
        <v>140</v>
      </c>
      <c r="F800" s="5" t="s">
        <v>711</v>
      </c>
      <c r="G800" s="5">
        <v>714</v>
      </c>
      <c r="H800" s="5">
        <v>1299</v>
      </c>
      <c r="I800" s="5" t="s">
        <v>36</v>
      </c>
      <c r="J800" s="5" t="s">
        <v>212</v>
      </c>
      <c r="K800" s="5">
        <v>4.3</v>
      </c>
      <c r="L800" s="5">
        <v>857</v>
      </c>
      <c r="M800" s="5">
        <v>0.45</v>
      </c>
      <c r="N800" s="5">
        <v>1138.6340612208289</v>
      </c>
      <c r="O800" s="5">
        <v>714</v>
      </c>
      <c r="P800" s="5" t="s">
        <v>212</v>
      </c>
      <c r="Q800" s="5" t="s">
        <v>57</v>
      </c>
      <c r="R800" s="5" t="s">
        <v>129</v>
      </c>
      <c r="S800" s="7" t="s">
        <v>712</v>
      </c>
    </row>
    <row r="801" spans="1:19" x14ac:dyDescent="0.35">
      <c r="A801" s="6">
        <v>15654416</v>
      </c>
      <c r="B801" s="5" t="s">
        <v>250</v>
      </c>
      <c r="C801" s="5" t="s">
        <v>142</v>
      </c>
      <c r="D801" s="5" t="s">
        <v>362</v>
      </c>
      <c r="E801" s="5" t="s">
        <v>140</v>
      </c>
      <c r="F801" s="5" t="s">
        <v>709</v>
      </c>
      <c r="G801" s="5">
        <v>999</v>
      </c>
      <c r="H801" s="5">
        <v>1999</v>
      </c>
      <c r="I801" s="5" t="s">
        <v>209</v>
      </c>
      <c r="J801" s="5" t="s">
        <v>212</v>
      </c>
      <c r="K801" s="5">
        <v>4.2</v>
      </c>
      <c r="L801" s="5">
        <v>857</v>
      </c>
      <c r="M801" s="5">
        <v>0.5</v>
      </c>
      <c r="N801" s="5">
        <v>1138.6340612208289</v>
      </c>
      <c r="O801" s="5">
        <v>999</v>
      </c>
      <c r="P801" s="5" t="s">
        <v>212</v>
      </c>
      <c r="Q801" s="5" t="s">
        <v>57</v>
      </c>
      <c r="R801" s="5" t="s">
        <v>129</v>
      </c>
      <c r="S801" s="7" t="s">
        <v>710</v>
      </c>
    </row>
    <row r="802" spans="1:19" x14ac:dyDescent="0.35">
      <c r="A802" s="6">
        <v>1462052</v>
      </c>
      <c r="B802" s="5" t="s">
        <v>339</v>
      </c>
      <c r="C802" s="5" t="s">
        <v>142</v>
      </c>
      <c r="D802" s="5" t="s">
        <v>77</v>
      </c>
      <c r="E802" s="5" t="s">
        <v>140</v>
      </c>
      <c r="F802" s="5" t="s">
        <v>707</v>
      </c>
      <c r="G802" s="5">
        <v>449</v>
      </c>
      <c r="H802" s="5">
        <v>999</v>
      </c>
      <c r="I802" s="5" t="s">
        <v>178</v>
      </c>
      <c r="J802" s="5" t="s">
        <v>150</v>
      </c>
      <c r="K802" s="5">
        <v>4.0999999999999996</v>
      </c>
      <c r="L802" s="5">
        <v>857</v>
      </c>
      <c r="M802" s="5">
        <v>0.55000000000000004</v>
      </c>
      <c r="N802" s="5">
        <v>1138.6340612208289</v>
      </c>
      <c r="O802" s="5">
        <v>449</v>
      </c>
      <c r="P802" s="5" t="s">
        <v>150</v>
      </c>
      <c r="Q802" s="5" t="s">
        <v>55</v>
      </c>
      <c r="R802" s="5" t="s">
        <v>129</v>
      </c>
      <c r="S802" s="7" t="s">
        <v>708</v>
      </c>
    </row>
    <row r="803" spans="1:19" x14ac:dyDescent="0.35">
      <c r="A803" s="6">
        <v>12016078</v>
      </c>
      <c r="B803" s="5" t="s">
        <v>143</v>
      </c>
      <c r="C803" s="5" t="s">
        <v>235</v>
      </c>
      <c r="D803" s="5" t="s">
        <v>228</v>
      </c>
      <c r="E803" s="5" t="s">
        <v>133</v>
      </c>
      <c r="F803" s="5" t="s">
        <v>705</v>
      </c>
      <c r="G803" s="5">
        <v>599</v>
      </c>
      <c r="H803" s="5">
        <v>1499</v>
      </c>
      <c r="I803" s="5" t="s">
        <v>223</v>
      </c>
      <c r="J803" s="5" t="s">
        <v>196</v>
      </c>
      <c r="K803" s="5">
        <v>4.3</v>
      </c>
      <c r="L803" s="5">
        <v>857</v>
      </c>
      <c r="M803" s="5">
        <v>0.6</v>
      </c>
      <c r="N803" s="5">
        <v>923.69459774582197</v>
      </c>
      <c r="O803" s="5">
        <v>599</v>
      </c>
      <c r="P803" s="5" t="s">
        <v>196</v>
      </c>
      <c r="Q803" s="5" t="s">
        <v>55</v>
      </c>
      <c r="R803" s="5" t="s">
        <v>129</v>
      </c>
      <c r="S803" s="7" t="s">
        <v>706</v>
      </c>
    </row>
    <row r="804" spans="1:19" x14ac:dyDescent="0.35">
      <c r="A804" s="6">
        <v>1271542</v>
      </c>
      <c r="B804" s="5" t="s">
        <v>703</v>
      </c>
      <c r="C804" s="5" t="s">
        <v>142</v>
      </c>
      <c r="D804" s="5" t="s">
        <v>141</v>
      </c>
      <c r="E804" s="5" t="s">
        <v>140</v>
      </c>
      <c r="F804" s="5" t="s">
        <v>702</v>
      </c>
      <c r="G804" s="5">
        <v>809</v>
      </c>
      <c r="H804" s="5">
        <v>1799</v>
      </c>
      <c r="I804" s="5" t="s">
        <v>178</v>
      </c>
      <c r="J804" s="5" t="s">
        <v>701</v>
      </c>
      <c r="K804" s="5">
        <v>4.2</v>
      </c>
      <c r="L804" s="5">
        <v>856</v>
      </c>
      <c r="M804" s="5">
        <v>0.55000000000000004</v>
      </c>
      <c r="N804" s="5">
        <v>1138.6340612208289</v>
      </c>
      <c r="O804" s="5">
        <v>809</v>
      </c>
      <c r="P804" s="5" t="s">
        <v>701</v>
      </c>
      <c r="Q804" s="5" t="s">
        <v>55</v>
      </c>
      <c r="R804" s="5" t="s">
        <v>129</v>
      </c>
      <c r="S804" s="7" t="s">
        <v>704</v>
      </c>
    </row>
    <row r="805" spans="1:19" x14ac:dyDescent="0.35">
      <c r="A805" s="6">
        <v>10941758</v>
      </c>
      <c r="B805" s="5" t="s">
        <v>637</v>
      </c>
      <c r="C805" s="5" t="s">
        <v>135</v>
      </c>
      <c r="D805" s="5" t="s">
        <v>377</v>
      </c>
      <c r="E805" s="5" t="s">
        <v>133</v>
      </c>
      <c r="F805" s="5" t="s">
        <v>699</v>
      </c>
      <c r="G805" s="5">
        <v>989</v>
      </c>
      <c r="H805" s="5">
        <v>2199</v>
      </c>
      <c r="I805" s="5" t="s">
        <v>178</v>
      </c>
      <c r="J805" s="5" t="s">
        <v>150</v>
      </c>
      <c r="K805" s="5">
        <v>4.0999999999999996</v>
      </c>
      <c r="L805" s="5">
        <v>856</v>
      </c>
      <c r="M805" s="5">
        <v>0.55000000000000004</v>
      </c>
      <c r="N805" s="5">
        <v>1493.337491012077</v>
      </c>
      <c r="O805" s="5">
        <v>989</v>
      </c>
      <c r="P805" s="5" t="s">
        <v>150</v>
      </c>
      <c r="Q805" s="5" t="s">
        <v>55</v>
      </c>
      <c r="R805" s="5" t="s">
        <v>129</v>
      </c>
      <c r="S805" s="7" t="s">
        <v>700</v>
      </c>
    </row>
    <row r="806" spans="1:19" x14ac:dyDescent="0.35">
      <c r="A806" s="6">
        <v>3077245</v>
      </c>
      <c r="B806" s="5" t="s">
        <v>190</v>
      </c>
      <c r="C806" s="5" t="s">
        <v>189</v>
      </c>
      <c r="D806" s="5" t="s">
        <v>188</v>
      </c>
      <c r="E806" s="5" t="s">
        <v>140</v>
      </c>
      <c r="F806" s="5" t="s">
        <v>697</v>
      </c>
      <c r="G806" s="5">
        <v>589</v>
      </c>
      <c r="H806" s="5">
        <v>999</v>
      </c>
      <c r="I806" s="5" t="s">
        <v>696</v>
      </c>
      <c r="J806" s="5" t="s">
        <v>185</v>
      </c>
      <c r="K806" s="5">
        <v>4</v>
      </c>
      <c r="L806" s="5">
        <v>855</v>
      </c>
      <c r="M806" s="5">
        <v>0.41</v>
      </c>
      <c r="N806" s="5">
        <v>1351.2078667815099</v>
      </c>
      <c r="O806" s="5">
        <v>589</v>
      </c>
      <c r="P806" s="5" t="s">
        <v>185</v>
      </c>
      <c r="Q806" s="5" t="s">
        <v>57</v>
      </c>
      <c r="R806" s="5" t="s">
        <v>129</v>
      </c>
      <c r="S806" s="7" t="s">
        <v>698</v>
      </c>
    </row>
    <row r="807" spans="1:19" x14ac:dyDescent="0.35">
      <c r="A807" s="6">
        <v>10004171</v>
      </c>
      <c r="B807" s="5" t="s">
        <v>190</v>
      </c>
      <c r="C807" s="5" t="s">
        <v>189</v>
      </c>
      <c r="D807" s="5" t="s">
        <v>188</v>
      </c>
      <c r="E807" s="5" t="s">
        <v>140</v>
      </c>
      <c r="F807" s="5" t="s">
        <v>694</v>
      </c>
      <c r="G807" s="5">
        <v>591</v>
      </c>
      <c r="H807" s="5">
        <v>1599</v>
      </c>
      <c r="I807" s="5" t="s">
        <v>392</v>
      </c>
      <c r="J807" s="5" t="s">
        <v>185</v>
      </c>
      <c r="K807" s="5">
        <v>4</v>
      </c>
      <c r="L807" s="5">
        <v>855</v>
      </c>
      <c r="M807" s="5">
        <v>0.63</v>
      </c>
      <c r="N807" s="5">
        <v>1351.2078667815099</v>
      </c>
      <c r="O807" s="5">
        <v>591</v>
      </c>
      <c r="P807" s="5" t="s">
        <v>185</v>
      </c>
      <c r="Q807" s="5" t="s">
        <v>55</v>
      </c>
      <c r="R807" s="5" t="s">
        <v>129</v>
      </c>
      <c r="S807" s="7" t="s">
        <v>695</v>
      </c>
    </row>
    <row r="808" spans="1:19" x14ac:dyDescent="0.35">
      <c r="A808" s="6">
        <v>8962359</v>
      </c>
      <c r="B808" s="5" t="s">
        <v>250</v>
      </c>
      <c r="C808" s="5" t="s">
        <v>189</v>
      </c>
      <c r="D808" s="5" t="s">
        <v>162</v>
      </c>
      <c r="E808" s="5" t="s">
        <v>140</v>
      </c>
      <c r="F808" s="5" t="s">
        <v>692</v>
      </c>
      <c r="G808" s="5">
        <v>674</v>
      </c>
      <c r="H808" s="5">
        <v>1499</v>
      </c>
      <c r="I808" s="5" t="s">
        <v>178</v>
      </c>
      <c r="J808" s="5" t="s">
        <v>222</v>
      </c>
      <c r="K808" s="5">
        <v>3.9</v>
      </c>
      <c r="L808" s="5">
        <v>855</v>
      </c>
      <c r="M808" s="5">
        <v>0.55000000000000004</v>
      </c>
      <c r="N808" s="5">
        <v>1351.2078667815099</v>
      </c>
      <c r="O808" s="5">
        <v>674</v>
      </c>
      <c r="P808" s="5" t="s">
        <v>222</v>
      </c>
      <c r="Q808" s="5" t="s">
        <v>55</v>
      </c>
      <c r="R808" s="5" t="s">
        <v>129</v>
      </c>
      <c r="S808" s="7" t="s">
        <v>693</v>
      </c>
    </row>
    <row r="809" spans="1:19" x14ac:dyDescent="0.35">
      <c r="A809" s="6">
        <v>10341661</v>
      </c>
      <c r="B809" s="5" t="s">
        <v>190</v>
      </c>
      <c r="C809" s="5" t="s">
        <v>189</v>
      </c>
      <c r="D809" s="5" t="s">
        <v>418</v>
      </c>
      <c r="E809" s="5" t="s">
        <v>140</v>
      </c>
      <c r="F809" s="5" t="s">
        <v>690</v>
      </c>
      <c r="G809" s="5">
        <v>499</v>
      </c>
      <c r="H809" s="5">
        <v>1249</v>
      </c>
      <c r="I809" s="5" t="s">
        <v>223</v>
      </c>
      <c r="J809" s="5" t="s">
        <v>185</v>
      </c>
      <c r="K809" s="5">
        <v>4.2</v>
      </c>
      <c r="L809" s="5">
        <v>855</v>
      </c>
      <c r="M809" s="5">
        <v>0.6</v>
      </c>
      <c r="N809" s="5">
        <v>1351.2078667815099</v>
      </c>
      <c r="O809" s="5">
        <v>499</v>
      </c>
      <c r="P809" s="5" t="s">
        <v>185</v>
      </c>
      <c r="Q809" s="5" t="s">
        <v>55</v>
      </c>
      <c r="R809" s="5" t="s">
        <v>129</v>
      </c>
      <c r="S809" s="7" t="s">
        <v>691</v>
      </c>
    </row>
    <row r="810" spans="1:19" x14ac:dyDescent="0.35">
      <c r="A810" s="6">
        <v>11325776</v>
      </c>
      <c r="B810" s="5" t="s">
        <v>250</v>
      </c>
      <c r="C810" s="5" t="s">
        <v>142</v>
      </c>
      <c r="D810" s="5" t="s">
        <v>141</v>
      </c>
      <c r="E810" s="5" t="s">
        <v>140</v>
      </c>
      <c r="F810" s="5" t="s">
        <v>688</v>
      </c>
      <c r="G810" s="5">
        <v>779</v>
      </c>
      <c r="H810" s="5">
        <v>1299</v>
      </c>
      <c r="I810" s="5" t="s">
        <v>131</v>
      </c>
      <c r="J810" s="5" t="s">
        <v>276</v>
      </c>
      <c r="K810" s="5">
        <v>4.2</v>
      </c>
      <c r="L810" s="5">
        <v>855</v>
      </c>
      <c r="M810" s="5">
        <v>0.4</v>
      </c>
      <c r="N810" s="5">
        <v>1138.6340612208289</v>
      </c>
      <c r="O810" s="5">
        <v>779</v>
      </c>
      <c r="P810" s="5" t="s">
        <v>276</v>
      </c>
      <c r="Q810" s="5" t="s">
        <v>57</v>
      </c>
      <c r="R810" s="5" t="s">
        <v>129</v>
      </c>
      <c r="S810" s="7" t="s">
        <v>689</v>
      </c>
    </row>
    <row r="811" spans="1:19" x14ac:dyDescent="0.35">
      <c r="A811" s="6">
        <v>8350295</v>
      </c>
      <c r="B811" s="5" t="s">
        <v>180</v>
      </c>
      <c r="C811" s="5" t="s">
        <v>135</v>
      </c>
      <c r="D811" s="5" t="s">
        <v>377</v>
      </c>
      <c r="E811" s="5" t="s">
        <v>133</v>
      </c>
      <c r="F811" s="5" t="s">
        <v>686</v>
      </c>
      <c r="G811" s="5">
        <v>2254</v>
      </c>
      <c r="H811" s="5">
        <v>4099</v>
      </c>
      <c r="I811" s="5" t="s">
        <v>36</v>
      </c>
      <c r="J811" s="5" t="s">
        <v>177</v>
      </c>
      <c r="K811" s="5">
        <v>4.4000000000000004</v>
      </c>
      <c r="L811" s="5">
        <v>855</v>
      </c>
      <c r="M811" s="5">
        <v>0.45</v>
      </c>
      <c r="N811" s="5">
        <v>1493.337491012077</v>
      </c>
      <c r="O811" s="5">
        <v>2254</v>
      </c>
      <c r="P811" s="5" t="s">
        <v>177</v>
      </c>
      <c r="Q811" s="5" t="s">
        <v>57</v>
      </c>
      <c r="R811" s="5" t="s">
        <v>129</v>
      </c>
      <c r="S811" s="7" t="s">
        <v>687</v>
      </c>
    </row>
    <row r="812" spans="1:19" x14ac:dyDescent="0.35">
      <c r="A812" s="6">
        <v>4891838</v>
      </c>
      <c r="B812" s="5" t="s">
        <v>684</v>
      </c>
      <c r="C812" s="5" t="s">
        <v>135</v>
      </c>
      <c r="D812" s="5" t="s">
        <v>403</v>
      </c>
      <c r="E812" s="5" t="s">
        <v>133</v>
      </c>
      <c r="F812" s="5" t="s">
        <v>683</v>
      </c>
      <c r="G812" s="5"/>
      <c r="H812" s="5">
        <v>699</v>
      </c>
      <c r="I812" s="5"/>
      <c r="J812" s="5" t="s">
        <v>212</v>
      </c>
      <c r="K812" s="5">
        <v>4.5</v>
      </c>
      <c r="L812" s="5">
        <v>855</v>
      </c>
      <c r="M812" s="5"/>
      <c r="N812" s="5">
        <v>1493.337491012077</v>
      </c>
      <c r="O812" s="5">
        <v>1493.337491012077</v>
      </c>
      <c r="P812" s="5" t="s">
        <v>212</v>
      </c>
      <c r="Q812" s="5" t="s">
        <v>57</v>
      </c>
      <c r="R812" s="5" t="s">
        <v>129</v>
      </c>
      <c r="S812" s="7" t="s">
        <v>685</v>
      </c>
    </row>
    <row r="813" spans="1:19" x14ac:dyDescent="0.35">
      <c r="A813" s="6">
        <v>11053868</v>
      </c>
      <c r="B813" s="5" t="s">
        <v>681</v>
      </c>
      <c r="C813" s="5" t="s">
        <v>235</v>
      </c>
      <c r="D813" s="5" t="s">
        <v>168</v>
      </c>
      <c r="E813" s="5" t="s">
        <v>133</v>
      </c>
      <c r="F813" s="5" t="s">
        <v>680</v>
      </c>
      <c r="G813" s="5">
        <v>573</v>
      </c>
      <c r="H813" s="5">
        <v>1399</v>
      </c>
      <c r="I813" s="5" t="s">
        <v>160</v>
      </c>
      <c r="J813" s="5" t="s">
        <v>150</v>
      </c>
      <c r="K813" s="5">
        <v>3.8</v>
      </c>
      <c r="L813" s="5">
        <v>855</v>
      </c>
      <c r="M813" s="5">
        <v>0.59</v>
      </c>
      <c r="N813" s="5">
        <v>923.69459774582197</v>
      </c>
      <c r="O813" s="5">
        <v>573</v>
      </c>
      <c r="P813" s="5" t="s">
        <v>150</v>
      </c>
      <c r="Q813" s="5" t="s">
        <v>55</v>
      </c>
      <c r="R813" s="5" t="s">
        <v>129</v>
      </c>
      <c r="S813" s="7" t="s">
        <v>682</v>
      </c>
    </row>
    <row r="814" spans="1:19" x14ac:dyDescent="0.35">
      <c r="A814" s="6">
        <v>2075643</v>
      </c>
      <c r="B814" s="5" t="s">
        <v>678</v>
      </c>
      <c r="C814" s="5" t="s">
        <v>156</v>
      </c>
      <c r="D814" s="5" t="s">
        <v>220</v>
      </c>
      <c r="E814" s="5" t="s">
        <v>140</v>
      </c>
      <c r="F814" s="5" t="s">
        <v>677</v>
      </c>
      <c r="G814" s="5">
        <v>317</v>
      </c>
      <c r="H814" s="5">
        <v>489</v>
      </c>
      <c r="I814" s="5" t="s">
        <v>205</v>
      </c>
      <c r="J814" s="5" t="s">
        <v>171</v>
      </c>
      <c r="K814" s="5">
        <v>4.2</v>
      </c>
      <c r="L814" s="5">
        <v>854</v>
      </c>
      <c r="M814" s="5">
        <v>0.35</v>
      </c>
      <c r="N814" s="5">
        <v>691.83976143141149</v>
      </c>
      <c r="O814" s="5">
        <v>317</v>
      </c>
      <c r="P814" s="5" t="s">
        <v>171</v>
      </c>
      <c r="Q814" s="5" t="s">
        <v>57</v>
      </c>
      <c r="R814" s="5" t="s">
        <v>129</v>
      </c>
      <c r="S814" s="7" t="s">
        <v>679</v>
      </c>
    </row>
    <row r="815" spans="1:19" x14ac:dyDescent="0.35">
      <c r="A815" s="6">
        <v>10944952</v>
      </c>
      <c r="B815" s="5" t="s">
        <v>250</v>
      </c>
      <c r="C815" s="5" t="s">
        <v>142</v>
      </c>
      <c r="D815" s="5" t="s">
        <v>141</v>
      </c>
      <c r="E815" s="5" t="s">
        <v>140</v>
      </c>
      <c r="F815" s="5" t="s">
        <v>675</v>
      </c>
      <c r="G815" s="5">
        <v>599</v>
      </c>
      <c r="H815" s="5">
        <v>1499</v>
      </c>
      <c r="I815" s="5" t="s">
        <v>223</v>
      </c>
      <c r="J815" s="5" t="s">
        <v>276</v>
      </c>
      <c r="K815" s="5">
        <v>4.4000000000000004</v>
      </c>
      <c r="L815" s="5">
        <v>854</v>
      </c>
      <c r="M815" s="5">
        <v>0.6</v>
      </c>
      <c r="N815" s="5">
        <v>1138.6340612208289</v>
      </c>
      <c r="O815" s="5">
        <v>599</v>
      </c>
      <c r="P815" s="5" t="s">
        <v>276</v>
      </c>
      <c r="Q815" s="5" t="s">
        <v>55</v>
      </c>
      <c r="R815" s="5" t="s">
        <v>129</v>
      </c>
      <c r="S815" s="7" t="s">
        <v>676</v>
      </c>
    </row>
    <row r="816" spans="1:19" x14ac:dyDescent="0.35">
      <c r="A816" s="6">
        <v>11991426</v>
      </c>
      <c r="B816" s="5" t="s">
        <v>250</v>
      </c>
      <c r="C816" s="5" t="s">
        <v>163</v>
      </c>
      <c r="D816" s="5" t="s">
        <v>215</v>
      </c>
      <c r="E816" s="5" t="s">
        <v>133</v>
      </c>
      <c r="F816" s="5" t="s">
        <v>673</v>
      </c>
      <c r="G816" s="5"/>
      <c r="H816" s="5">
        <v>1199</v>
      </c>
      <c r="I816" s="5" t="s">
        <v>218</v>
      </c>
      <c r="J816" s="5" t="s">
        <v>196</v>
      </c>
      <c r="K816" s="5">
        <v>4.3</v>
      </c>
      <c r="L816" s="5">
        <v>854</v>
      </c>
      <c r="M816" s="5">
        <v>0.3</v>
      </c>
      <c r="N816" s="5">
        <v>1790.0851063829789</v>
      </c>
      <c r="O816" s="5"/>
      <c r="P816" s="5" t="s">
        <v>196</v>
      </c>
      <c r="Q816" s="5" t="s">
        <v>57</v>
      </c>
      <c r="R816" s="5" t="s">
        <v>129</v>
      </c>
      <c r="S816" s="7" t="s">
        <v>674</v>
      </c>
    </row>
    <row r="817" spans="1:19" x14ac:dyDescent="0.35">
      <c r="A817" s="6">
        <v>11554556</v>
      </c>
      <c r="B817" s="5" t="s">
        <v>671</v>
      </c>
      <c r="C817" s="5" t="s">
        <v>163</v>
      </c>
      <c r="D817" s="5" t="s">
        <v>162</v>
      </c>
      <c r="E817" s="5" t="s">
        <v>133</v>
      </c>
      <c r="F817" s="5" t="s">
        <v>670</v>
      </c>
      <c r="G817" s="5"/>
      <c r="H817" s="5">
        <v>1299</v>
      </c>
      <c r="I817" s="5" t="s">
        <v>610</v>
      </c>
      <c r="J817" s="5" t="s">
        <v>669</v>
      </c>
      <c r="K817" s="5">
        <v>4.4000000000000004</v>
      </c>
      <c r="L817" s="5">
        <v>854</v>
      </c>
      <c r="M817" s="5">
        <v>0.26</v>
      </c>
      <c r="N817" s="5">
        <v>1790.0851063829789</v>
      </c>
      <c r="O817" s="5"/>
      <c r="P817" s="5" t="s">
        <v>669</v>
      </c>
      <c r="Q817" s="5" t="s">
        <v>57</v>
      </c>
      <c r="R817" s="5" t="s">
        <v>129</v>
      </c>
      <c r="S817" s="7" t="s">
        <v>672</v>
      </c>
    </row>
    <row r="818" spans="1:19" x14ac:dyDescent="0.35">
      <c r="A818" s="6">
        <v>10106211</v>
      </c>
      <c r="B818" s="5" t="s">
        <v>152</v>
      </c>
      <c r="C818" s="5" t="s">
        <v>75</v>
      </c>
      <c r="D818" s="5" t="s">
        <v>77</v>
      </c>
      <c r="E818" s="5" t="s">
        <v>140</v>
      </c>
      <c r="F818" s="5" t="s">
        <v>667</v>
      </c>
      <c r="G818" s="5"/>
      <c r="H818" s="5">
        <v>1099</v>
      </c>
      <c r="I818" s="5"/>
      <c r="J818" s="5" t="s">
        <v>150</v>
      </c>
      <c r="K818" s="5">
        <v>4.2</v>
      </c>
      <c r="L818" s="5">
        <v>853</v>
      </c>
      <c r="M818" s="5"/>
      <c r="N818" s="5">
        <v>1097.3783736315199</v>
      </c>
      <c r="O818" s="5">
        <v>1097.3783736315199</v>
      </c>
      <c r="P818" s="5" t="s">
        <v>150</v>
      </c>
      <c r="Q818" s="5" t="s">
        <v>57</v>
      </c>
      <c r="R818" s="5" t="s">
        <v>129</v>
      </c>
      <c r="S818" s="7" t="s">
        <v>668</v>
      </c>
    </row>
    <row r="819" spans="1:19" x14ac:dyDescent="0.35">
      <c r="A819" s="6">
        <v>12032544</v>
      </c>
      <c r="B819" s="5" t="s">
        <v>148</v>
      </c>
      <c r="C819" s="5" t="s">
        <v>142</v>
      </c>
      <c r="D819" s="5" t="s">
        <v>141</v>
      </c>
      <c r="E819" s="5" t="s">
        <v>140</v>
      </c>
      <c r="F819" s="5" t="s">
        <v>665</v>
      </c>
      <c r="G819" s="5">
        <v>571</v>
      </c>
      <c r="H819" s="5">
        <v>1299</v>
      </c>
      <c r="I819" s="5" t="s">
        <v>172</v>
      </c>
      <c r="J819" s="5" t="s">
        <v>145</v>
      </c>
      <c r="K819" s="5">
        <v>4.0999999999999996</v>
      </c>
      <c r="L819" s="5">
        <v>853</v>
      </c>
      <c r="M819" s="5">
        <v>0.56000000000000005</v>
      </c>
      <c r="N819" s="5">
        <v>1138.6340612208289</v>
      </c>
      <c r="O819" s="5">
        <v>571</v>
      </c>
      <c r="P819" s="5" t="s">
        <v>145</v>
      </c>
      <c r="Q819" s="5" t="s">
        <v>55</v>
      </c>
      <c r="R819" s="5" t="s">
        <v>129</v>
      </c>
      <c r="S819" s="7" t="s">
        <v>666</v>
      </c>
    </row>
    <row r="820" spans="1:19" x14ac:dyDescent="0.35">
      <c r="A820" s="6">
        <v>13706216</v>
      </c>
      <c r="B820" s="5" t="s">
        <v>663</v>
      </c>
      <c r="C820" s="5" t="s">
        <v>135</v>
      </c>
      <c r="D820" s="5" t="s">
        <v>194</v>
      </c>
      <c r="E820" s="5" t="s">
        <v>133</v>
      </c>
      <c r="F820" s="5" t="s">
        <v>662</v>
      </c>
      <c r="G820" s="5">
        <v>599</v>
      </c>
      <c r="H820" s="5">
        <v>1199</v>
      </c>
      <c r="I820" s="5" t="s">
        <v>209</v>
      </c>
      <c r="J820" s="5" t="s">
        <v>192</v>
      </c>
      <c r="K820" s="5">
        <v>3.9</v>
      </c>
      <c r="L820" s="5">
        <v>853</v>
      </c>
      <c r="M820" s="5">
        <v>0.5</v>
      </c>
      <c r="N820" s="5">
        <v>1493.337491012077</v>
      </c>
      <c r="O820" s="5">
        <v>599</v>
      </c>
      <c r="P820" s="5" t="s">
        <v>192</v>
      </c>
      <c r="Q820" s="5" t="s">
        <v>57</v>
      </c>
      <c r="R820" s="5" t="s">
        <v>129</v>
      </c>
      <c r="S820" s="7" t="s">
        <v>664</v>
      </c>
    </row>
    <row r="821" spans="1:19" x14ac:dyDescent="0.35">
      <c r="A821" s="6">
        <v>13532336</v>
      </c>
      <c r="B821" s="5" t="s">
        <v>143</v>
      </c>
      <c r="C821" s="5" t="s">
        <v>235</v>
      </c>
      <c r="D821" s="5" t="s">
        <v>162</v>
      </c>
      <c r="E821" s="5" t="s">
        <v>133</v>
      </c>
      <c r="F821" s="5" t="s">
        <v>660</v>
      </c>
      <c r="G821" s="5">
        <v>764</v>
      </c>
      <c r="H821" s="5">
        <v>1699</v>
      </c>
      <c r="I821" s="5" t="s">
        <v>178</v>
      </c>
      <c r="J821" s="5" t="s">
        <v>296</v>
      </c>
      <c r="K821" s="5">
        <v>3.9</v>
      </c>
      <c r="L821" s="5">
        <v>853</v>
      </c>
      <c r="M821" s="5">
        <v>0.55000000000000004</v>
      </c>
      <c r="N821" s="5">
        <v>923.69459774582197</v>
      </c>
      <c r="O821" s="5">
        <v>764</v>
      </c>
      <c r="P821" s="5" t="s">
        <v>296</v>
      </c>
      <c r="Q821" s="5" t="s">
        <v>55</v>
      </c>
      <c r="R821" s="5" t="s">
        <v>129</v>
      </c>
      <c r="S821" s="7" t="s">
        <v>661</v>
      </c>
    </row>
    <row r="822" spans="1:19" x14ac:dyDescent="0.35">
      <c r="A822" s="6">
        <v>9479095</v>
      </c>
      <c r="B822" s="5" t="s">
        <v>250</v>
      </c>
      <c r="C822" s="5" t="s">
        <v>163</v>
      </c>
      <c r="D822" s="5" t="s">
        <v>493</v>
      </c>
      <c r="E822" s="5" t="s">
        <v>133</v>
      </c>
      <c r="F822" s="5" t="s">
        <v>658</v>
      </c>
      <c r="G822" s="5"/>
      <c r="H822" s="5">
        <v>3699</v>
      </c>
      <c r="I822" s="5" t="s">
        <v>283</v>
      </c>
      <c r="J822" s="5" t="s">
        <v>196</v>
      </c>
      <c r="K822" s="5">
        <v>4.3</v>
      </c>
      <c r="L822" s="5">
        <v>853</v>
      </c>
      <c r="M822" s="5">
        <v>0.7</v>
      </c>
      <c r="N822" s="5">
        <v>1790.0851063829789</v>
      </c>
      <c r="O822" s="5"/>
      <c r="P822" s="5" t="s">
        <v>196</v>
      </c>
      <c r="Q822" s="5" t="s">
        <v>55</v>
      </c>
      <c r="R822" s="5" t="s">
        <v>129</v>
      </c>
      <c r="S822" s="7" t="s">
        <v>659</v>
      </c>
    </row>
    <row r="823" spans="1:19" x14ac:dyDescent="0.35">
      <c r="A823" s="6">
        <v>1959220</v>
      </c>
      <c r="B823" s="5" t="s">
        <v>136</v>
      </c>
      <c r="C823" s="5" t="s">
        <v>189</v>
      </c>
      <c r="D823" s="5" t="s">
        <v>162</v>
      </c>
      <c r="E823" s="5" t="s">
        <v>140</v>
      </c>
      <c r="F823" s="5" t="s">
        <v>656</v>
      </c>
      <c r="G823" s="5">
        <v>1034</v>
      </c>
      <c r="H823" s="5">
        <v>2299</v>
      </c>
      <c r="I823" s="5" t="s">
        <v>178</v>
      </c>
      <c r="J823" s="5" t="s">
        <v>502</v>
      </c>
      <c r="K823" s="5">
        <v>3.9</v>
      </c>
      <c r="L823" s="5">
        <v>852</v>
      </c>
      <c r="M823" s="5">
        <v>0.55000000000000004</v>
      </c>
      <c r="N823" s="5">
        <v>1351.2078667815099</v>
      </c>
      <c r="O823" s="5">
        <v>1034</v>
      </c>
      <c r="P823" s="5" t="s">
        <v>502</v>
      </c>
      <c r="Q823" s="5" t="s">
        <v>55</v>
      </c>
      <c r="R823" s="5" t="s">
        <v>129</v>
      </c>
      <c r="S823" s="7" t="s">
        <v>657</v>
      </c>
    </row>
    <row r="824" spans="1:19" x14ac:dyDescent="0.35">
      <c r="A824" s="6">
        <v>10944438</v>
      </c>
      <c r="B824" s="5" t="s">
        <v>250</v>
      </c>
      <c r="C824" s="5" t="s">
        <v>142</v>
      </c>
      <c r="D824" s="5" t="s">
        <v>141</v>
      </c>
      <c r="E824" s="5" t="s">
        <v>140</v>
      </c>
      <c r="F824" s="5" t="s">
        <v>654</v>
      </c>
      <c r="G824" s="5">
        <v>674</v>
      </c>
      <c r="H824" s="5">
        <v>1499</v>
      </c>
      <c r="I824" s="5" t="s">
        <v>178</v>
      </c>
      <c r="J824" s="5" t="s">
        <v>348</v>
      </c>
      <c r="K824" s="5">
        <v>4.4000000000000004</v>
      </c>
      <c r="L824" s="5">
        <v>852</v>
      </c>
      <c r="M824" s="5">
        <v>0.55000000000000004</v>
      </c>
      <c r="N824" s="5">
        <v>1138.6340612208289</v>
      </c>
      <c r="O824" s="5">
        <v>674</v>
      </c>
      <c r="P824" s="5" t="s">
        <v>348</v>
      </c>
      <c r="Q824" s="5" t="s">
        <v>55</v>
      </c>
      <c r="R824" s="5" t="s">
        <v>129</v>
      </c>
      <c r="S824" s="7" t="s">
        <v>655</v>
      </c>
    </row>
    <row r="825" spans="1:19" x14ac:dyDescent="0.35">
      <c r="A825" s="6">
        <v>9656251</v>
      </c>
      <c r="B825" s="5" t="s">
        <v>250</v>
      </c>
      <c r="C825" s="5" t="s">
        <v>163</v>
      </c>
      <c r="D825" s="5" t="s">
        <v>141</v>
      </c>
      <c r="E825" s="5" t="s">
        <v>133</v>
      </c>
      <c r="F825" s="5" t="s">
        <v>652</v>
      </c>
      <c r="G825" s="5"/>
      <c r="H825" s="5">
        <v>1299</v>
      </c>
      <c r="I825" s="5" t="s">
        <v>209</v>
      </c>
      <c r="J825" s="5" t="s">
        <v>192</v>
      </c>
      <c r="K825" s="5">
        <v>4.0999999999999996</v>
      </c>
      <c r="L825" s="5">
        <v>852</v>
      </c>
      <c r="M825" s="5">
        <v>0.5</v>
      </c>
      <c r="N825" s="5">
        <v>1790.0851063829789</v>
      </c>
      <c r="O825" s="5"/>
      <c r="P825" s="5" t="s">
        <v>192</v>
      </c>
      <c r="Q825" s="5" t="s">
        <v>57</v>
      </c>
      <c r="R825" s="5" t="s">
        <v>129</v>
      </c>
      <c r="S825" s="7" t="s">
        <v>653</v>
      </c>
    </row>
    <row r="826" spans="1:19" x14ac:dyDescent="0.35">
      <c r="A826" s="6">
        <v>15008088</v>
      </c>
      <c r="B826" s="5" t="s">
        <v>281</v>
      </c>
      <c r="C826" s="5" t="s">
        <v>189</v>
      </c>
      <c r="D826" s="5" t="s">
        <v>199</v>
      </c>
      <c r="E826" s="5" t="s">
        <v>140</v>
      </c>
      <c r="F826" s="5" t="s">
        <v>650</v>
      </c>
      <c r="G826" s="5">
        <v>899</v>
      </c>
      <c r="H826" s="5">
        <v>1999</v>
      </c>
      <c r="I826" s="5" t="s">
        <v>178</v>
      </c>
      <c r="J826" s="5" t="s">
        <v>212</v>
      </c>
      <c r="K826" s="5">
        <v>4.0999999999999996</v>
      </c>
      <c r="L826" s="5">
        <v>851</v>
      </c>
      <c r="M826" s="5">
        <v>0.55000000000000004</v>
      </c>
      <c r="N826" s="5">
        <v>1351.2078667815099</v>
      </c>
      <c r="O826" s="5">
        <v>899</v>
      </c>
      <c r="P826" s="5" t="s">
        <v>212</v>
      </c>
      <c r="Q826" s="5" t="s">
        <v>55</v>
      </c>
      <c r="R826" s="5" t="s">
        <v>129</v>
      </c>
      <c r="S826" s="7" t="s">
        <v>651</v>
      </c>
    </row>
    <row r="827" spans="1:19" x14ac:dyDescent="0.35">
      <c r="A827" s="6">
        <v>10046861</v>
      </c>
      <c r="B827" s="5" t="s">
        <v>250</v>
      </c>
      <c r="C827" s="5" t="s">
        <v>189</v>
      </c>
      <c r="D827" s="5" t="s">
        <v>162</v>
      </c>
      <c r="E827" s="5" t="s">
        <v>140</v>
      </c>
      <c r="F827" s="5" t="s">
        <v>648</v>
      </c>
      <c r="G827" s="5">
        <v>799</v>
      </c>
      <c r="H827" s="5">
        <v>1999</v>
      </c>
      <c r="I827" s="5" t="s">
        <v>223</v>
      </c>
      <c r="J827" s="5" t="s">
        <v>408</v>
      </c>
      <c r="K827" s="5">
        <v>4.0999999999999996</v>
      </c>
      <c r="L827" s="5">
        <v>851</v>
      </c>
      <c r="M827" s="5">
        <v>0.6</v>
      </c>
      <c r="N827" s="5">
        <v>1351.2078667815099</v>
      </c>
      <c r="O827" s="5">
        <v>799</v>
      </c>
      <c r="P827" s="5" t="s">
        <v>408</v>
      </c>
      <c r="Q827" s="5" t="s">
        <v>55</v>
      </c>
      <c r="R827" s="5" t="s">
        <v>129</v>
      </c>
      <c r="S827" s="7" t="s">
        <v>649</v>
      </c>
    </row>
    <row r="828" spans="1:19" x14ac:dyDescent="0.35">
      <c r="A828" s="6">
        <v>5814349</v>
      </c>
      <c r="B828" s="5" t="s">
        <v>190</v>
      </c>
      <c r="C828" s="5" t="s">
        <v>189</v>
      </c>
      <c r="D828" s="5" t="s">
        <v>162</v>
      </c>
      <c r="E828" s="5" t="s">
        <v>140</v>
      </c>
      <c r="F828" s="5" t="s">
        <v>646</v>
      </c>
      <c r="G828" s="5">
        <v>887</v>
      </c>
      <c r="H828" s="5">
        <v>1849</v>
      </c>
      <c r="I828" s="5" t="s">
        <v>645</v>
      </c>
      <c r="J828" s="5" t="s">
        <v>380</v>
      </c>
      <c r="K828" s="5">
        <v>4.0999999999999996</v>
      </c>
      <c r="L828" s="5">
        <v>851</v>
      </c>
      <c r="M828" s="5">
        <v>0.52</v>
      </c>
      <c r="N828" s="5">
        <v>1351.2078667815099</v>
      </c>
      <c r="O828" s="5">
        <v>887</v>
      </c>
      <c r="P828" s="5" t="s">
        <v>380</v>
      </c>
      <c r="Q828" s="5" t="s">
        <v>55</v>
      </c>
      <c r="R828" s="5" t="s">
        <v>129</v>
      </c>
      <c r="S828" s="7" t="s">
        <v>647</v>
      </c>
    </row>
    <row r="829" spans="1:19" x14ac:dyDescent="0.35">
      <c r="A829" s="6">
        <v>12787018</v>
      </c>
      <c r="B829" s="5" t="s">
        <v>143</v>
      </c>
      <c r="C829" s="5" t="s">
        <v>142</v>
      </c>
      <c r="D829" s="5" t="s">
        <v>77</v>
      </c>
      <c r="E829" s="5" t="s">
        <v>140</v>
      </c>
      <c r="F829" s="5" t="s">
        <v>643</v>
      </c>
      <c r="G829" s="5">
        <v>174</v>
      </c>
      <c r="H829" s="5">
        <v>699</v>
      </c>
      <c r="I829" s="5" t="s">
        <v>310</v>
      </c>
      <c r="J829" s="5" t="s">
        <v>212</v>
      </c>
      <c r="K829" s="5">
        <v>4.3</v>
      </c>
      <c r="L829" s="5">
        <v>851</v>
      </c>
      <c r="M829" s="5">
        <v>0.75</v>
      </c>
      <c r="N829" s="5">
        <v>1138.6340612208289</v>
      </c>
      <c r="O829" s="5">
        <v>174</v>
      </c>
      <c r="P829" s="5" t="s">
        <v>212</v>
      </c>
      <c r="Q829" s="5" t="s">
        <v>55</v>
      </c>
      <c r="R829" s="5" t="s">
        <v>129</v>
      </c>
      <c r="S829" s="7" t="s">
        <v>644</v>
      </c>
    </row>
    <row r="830" spans="1:19" x14ac:dyDescent="0.35">
      <c r="A830" s="6">
        <v>11199374</v>
      </c>
      <c r="B830" s="5" t="s">
        <v>460</v>
      </c>
      <c r="C830" s="5" t="s">
        <v>135</v>
      </c>
      <c r="D830" s="5" t="s">
        <v>228</v>
      </c>
      <c r="E830" s="5" t="s">
        <v>133</v>
      </c>
      <c r="F830" s="5" t="s">
        <v>641</v>
      </c>
      <c r="G830" s="5">
        <v>849</v>
      </c>
      <c r="H830" s="5">
        <v>1699</v>
      </c>
      <c r="I830" s="5" t="s">
        <v>209</v>
      </c>
      <c r="J830" s="5" t="s">
        <v>196</v>
      </c>
      <c r="K830" s="5">
        <v>4.3</v>
      </c>
      <c r="L830" s="5">
        <v>851</v>
      </c>
      <c r="M830" s="5">
        <v>0.5</v>
      </c>
      <c r="N830" s="5">
        <v>1493.337491012077</v>
      </c>
      <c r="O830" s="5">
        <v>849</v>
      </c>
      <c r="P830" s="5" t="s">
        <v>196</v>
      </c>
      <c r="Q830" s="5" t="s">
        <v>57</v>
      </c>
      <c r="R830" s="5" t="s">
        <v>129</v>
      </c>
      <c r="S830" s="7" t="s">
        <v>642</v>
      </c>
    </row>
    <row r="831" spans="1:19" x14ac:dyDescent="0.35">
      <c r="A831" s="6">
        <v>6942355</v>
      </c>
      <c r="B831" s="5" t="s">
        <v>169</v>
      </c>
      <c r="C831" s="5" t="s">
        <v>135</v>
      </c>
      <c r="D831" s="5" t="s">
        <v>168</v>
      </c>
      <c r="E831" s="5" t="s">
        <v>133</v>
      </c>
      <c r="F831" s="5" t="s">
        <v>639</v>
      </c>
      <c r="G831" s="5">
        <v>839</v>
      </c>
      <c r="H831" s="5">
        <v>1999</v>
      </c>
      <c r="I831" s="5" t="s">
        <v>319</v>
      </c>
      <c r="J831" s="5" t="s">
        <v>150</v>
      </c>
      <c r="K831" s="5">
        <v>4.2</v>
      </c>
      <c r="L831" s="5">
        <v>851</v>
      </c>
      <c r="M831" s="5">
        <v>0.57999999999999996</v>
      </c>
      <c r="N831" s="5">
        <v>1493.337491012077</v>
      </c>
      <c r="O831" s="5">
        <v>839</v>
      </c>
      <c r="P831" s="5" t="s">
        <v>150</v>
      </c>
      <c r="Q831" s="5" t="s">
        <v>55</v>
      </c>
      <c r="R831" s="5" t="s">
        <v>129</v>
      </c>
      <c r="S831" s="7" t="s">
        <v>640</v>
      </c>
    </row>
    <row r="832" spans="1:19" x14ac:dyDescent="0.35">
      <c r="A832" s="6">
        <v>13021512</v>
      </c>
      <c r="B832" s="5" t="s">
        <v>637</v>
      </c>
      <c r="C832" s="5" t="s">
        <v>273</v>
      </c>
      <c r="D832" s="5" t="s">
        <v>373</v>
      </c>
      <c r="E832" s="5" t="s">
        <v>133</v>
      </c>
      <c r="F832" s="5" t="s">
        <v>636</v>
      </c>
      <c r="G832" s="5">
        <v>961</v>
      </c>
      <c r="H832" s="5">
        <v>2599</v>
      </c>
      <c r="I832" s="5" t="s">
        <v>392</v>
      </c>
      <c r="J832" s="5" t="s">
        <v>150</v>
      </c>
      <c r="K832" s="5">
        <v>3.8</v>
      </c>
      <c r="L832" s="5">
        <v>851</v>
      </c>
      <c r="M832" s="5">
        <v>0.63</v>
      </c>
      <c r="N832" s="5">
        <v>811.90284167198604</v>
      </c>
      <c r="O832" s="5">
        <v>961</v>
      </c>
      <c r="P832" s="5" t="s">
        <v>150</v>
      </c>
      <c r="Q832" s="5" t="s">
        <v>55</v>
      </c>
      <c r="R832" s="5" t="s">
        <v>129</v>
      </c>
      <c r="S832" s="7" t="s">
        <v>638</v>
      </c>
    </row>
    <row r="833" spans="1:19" x14ac:dyDescent="0.35">
      <c r="A833" s="6">
        <v>7287325</v>
      </c>
      <c r="B833" s="5" t="s">
        <v>424</v>
      </c>
      <c r="C833" s="5" t="s">
        <v>163</v>
      </c>
      <c r="D833" s="5" t="s">
        <v>194</v>
      </c>
      <c r="E833" s="5" t="s">
        <v>133</v>
      </c>
      <c r="F833" s="5" t="s">
        <v>634</v>
      </c>
      <c r="G833" s="5"/>
      <c r="H833" s="5">
        <v>1299</v>
      </c>
      <c r="I833" s="5" t="s">
        <v>36</v>
      </c>
      <c r="J833" s="5" t="s">
        <v>192</v>
      </c>
      <c r="K833" s="5">
        <v>4.2</v>
      </c>
      <c r="L833" s="5">
        <v>851</v>
      </c>
      <c r="M833" s="5">
        <v>0.45</v>
      </c>
      <c r="N833" s="5">
        <v>1790.0851063829789</v>
      </c>
      <c r="O833" s="5"/>
      <c r="P833" s="5" t="s">
        <v>192</v>
      </c>
      <c r="Q833" s="5" t="s">
        <v>57</v>
      </c>
      <c r="R833" s="5" t="s">
        <v>129</v>
      </c>
      <c r="S833" s="7" t="s">
        <v>635</v>
      </c>
    </row>
    <row r="834" spans="1:19" x14ac:dyDescent="0.35">
      <c r="A834" s="6">
        <v>10526804</v>
      </c>
      <c r="B834" s="5" t="s">
        <v>200</v>
      </c>
      <c r="C834" s="5" t="s">
        <v>163</v>
      </c>
      <c r="D834" s="5" t="s">
        <v>228</v>
      </c>
      <c r="E834" s="5" t="s">
        <v>133</v>
      </c>
      <c r="F834" s="5" t="s">
        <v>632</v>
      </c>
      <c r="G834" s="5"/>
      <c r="H834" s="5">
        <v>2499</v>
      </c>
      <c r="I834" s="5" t="s">
        <v>131</v>
      </c>
      <c r="J834" s="5" t="s">
        <v>192</v>
      </c>
      <c r="K834" s="5">
        <v>4.4000000000000004</v>
      </c>
      <c r="L834" s="5">
        <v>851</v>
      </c>
      <c r="M834" s="5">
        <v>0.4</v>
      </c>
      <c r="N834" s="5">
        <v>1790.0851063829789</v>
      </c>
      <c r="O834" s="5"/>
      <c r="P834" s="5" t="s">
        <v>192</v>
      </c>
      <c r="Q834" s="5" t="s">
        <v>57</v>
      </c>
      <c r="R834" s="5" t="s">
        <v>129</v>
      </c>
      <c r="S834" s="7" t="s">
        <v>633</v>
      </c>
    </row>
    <row r="835" spans="1:19" x14ac:dyDescent="0.35">
      <c r="A835" s="6">
        <v>17381370</v>
      </c>
      <c r="B835" s="5" t="s">
        <v>250</v>
      </c>
      <c r="C835" s="5" t="s">
        <v>163</v>
      </c>
      <c r="D835" s="5" t="s">
        <v>77</v>
      </c>
      <c r="E835" s="5" t="s">
        <v>133</v>
      </c>
      <c r="F835" s="5" t="s">
        <v>630</v>
      </c>
      <c r="G835" s="5"/>
      <c r="H835" s="5">
        <v>1198</v>
      </c>
      <c r="I835" s="5"/>
      <c r="J835" s="5" t="s">
        <v>192</v>
      </c>
      <c r="K835" s="5">
        <v>4.4000000000000004</v>
      </c>
      <c r="L835" s="5">
        <v>851</v>
      </c>
      <c r="M835" s="5"/>
      <c r="N835" s="5">
        <v>1790.0851063829789</v>
      </c>
      <c r="O835" s="5">
        <v>1790.0851063829789</v>
      </c>
      <c r="P835" s="5" t="s">
        <v>192</v>
      </c>
      <c r="Q835" s="5" t="s">
        <v>57</v>
      </c>
      <c r="R835" s="5" t="s">
        <v>129</v>
      </c>
      <c r="S835" s="7" t="s">
        <v>631</v>
      </c>
    </row>
    <row r="836" spans="1:19" x14ac:dyDescent="0.35">
      <c r="A836" s="6">
        <v>2032838</v>
      </c>
      <c r="B836" s="5" t="s">
        <v>183</v>
      </c>
      <c r="C836" s="5" t="s">
        <v>189</v>
      </c>
      <c r="D836" s="5" t="s">
        <v>162</v>
      </c>
      <c r="E836" s="5" t="s">
        <v>140</v>
      </c>
      <c r="F836" s="5" t="s">
        <v>628</v>
      </c>
      <c r="G836" s="5">
        <v>1449</v>
      </c>
      <c r="H836" s="5">
        <v>2899</v>
      </c>
      <c r="I836" s="5" t="s">
        <v>209</v>
      </c>
      <c r="J836" s="5" t="s">
        <v>502</v>
      </c>
      <c r="K836" s="5">
        <v>4</v>
      </c>
      <c r="L836" s="5">
        <v>850</v>
      </c>
      <c r="M836" s="5">
        <v>0.5</v>
      </c>
      <c r="N836" s="5">
        <v>1351.2078667815099</v>
      </c>
      <c r="O836" s="5">
        <v>1449</v>
      </c>
      <c r="P836" s="5" t="s">
        <v>502</v>
      </c>
      <c r="Q836" s="5" t="s">
        <v>57</v>
      </c>
      <c r="R836" s="5" t="s">
        <v>129</v>
      </c>
      <c r="S836" s="7" t="s">
        <v>629</v>
      </c>
    </row>
    <row r="837" spans="1:19" x14ac:dyDescent="0.35">
      <c r="A837" s="6">
        <v>10604374</v>
      </c>
      <c r="B837" s="5" t="s">
        <v>626</v>
      </c>
      <c r="C837" s="5" t="s">
        <v>189</v>
      </c>
      <c r="D837" s="5" t="s">
        <v>188</v>
      </c>
      <c r="E837" s="5" t="s">
        <v>140</v>
      </c>
      <c r="F837" s="5" t="s">
        <v>625</v>
      </c>
      <c r="G837" s="5">
        <v>909</v>
      </c>
      <c r="H837" s="5">
        <v>2599</v>
      </c>
      <c r="I837" s="5" t="s">
        <v>197</v>
      </c>
      <c r="J837" s="5" t="s">
        <v>624</v>
      </c>
      <c r="K837" s="5">
        <v>3.7</v>
      </c>
      <c r="L837" s="5">
        <v>850</v>
      </c>
      <c r="M837" s="5">
        <v>0.65</v>
      </c>
      <c r="N837" s="5">
        <v>1351.2078667815099</v>
      </c>
      <c r="O837" s="5">
        <v>909</v>
      </c>
      <c r="P837" s="5" t="s">
        <v>624</v>
      </c>
      <c r="Q837" s="5" t="s">
        <v>55</v>
      </c>
      <c r="R837" s="5" t="s">
        <v>129</v>
      </c>
      <c r="S837" s="7" t="s">
        <v>627</v>
      </c>
    </row>
    <row r="838" spans="1:19" x14ac:dyDescent="0.35">
      <c r="A838" s="6">
        <v>8120161</v>
      </c>
      <c r="B838" s="5" t="s">
        <v>190</v>
      </c>
      <c r="C838" s="5" t="s">
        <v>189</v>
      </c>
      <c r="D838" s="5" t="s">
        <v>418</v>
      </c>
      <c r="E838" s="5" t="s">
        <v>140</v>
      </c>
      <c r="F838" s="5" t="s">
        <v>622</v>
      </c>
      <c r="G838" s="5">
        <v>587</v>
      </c>
      <c r="H838" s="5">
        <v>1249</v>
      </c>
      <c r="I838" s="5" t="s">
        <v>381</v>
      </c>
      <c r="J838" s="5" t="s">
        <v>185</v>
      </c>
      <c r="K838" s="5">
        <v>4.0999999999999996</v>
      </c>
      <c r="L838" s="5">
        <v>850</v>
      </c>
      <c r="M838" s="5">
        <v>0.53</v>
      </c>
      <c r="N838" s="5">
        <v>1351.2078667815099</v>
      </c>
      <c r="O838" s="5">
        <v>587</v>
      </c>
      <c r="P838" s="5" t="s">
        <v>185</v>
      </c>
      <c r="Q838" s="5" t="s">
        <v>55</v>
      </c>
      <c r="R838" s="5" t="s">
        <v>129</v>
      </c>
      <c r="S838" s="7" t="s">
        <v>623</v>
      </c>
    </row>
    <row r="839" spans="1:19" x14ac:dyDescent="0.35">
      <c r="A839" s="6">
        <v>10004115</v>
      </c>
      <c r="B839" s="5" t="s">
        <v>190</v>
      </c>
      <c r="C839" s="5" t="s">
        <v>142</v>
      </c>
      <c r="D839" s="5" t="s">
        <v>141</v>
      </c>
      <c r="E839" s="5" t="s">
        <v>140</v>
      </c>
      <c r="F839" s="5" t="s">
        <v>620</v>
      </c>
      <c r="G839" s="5">
        <v>559</v>
      </c>
      <c r="H839" s="5">
        <v>1399</v>
      </c>
      <c r="I839" s="5" t="s">
        <v>223</v>
      </c>
      <c r="J839" s="5" t="s">
        <v>145</v>
      </c>
      <c r="K839" s="5">
        <v>4.3</v>
      </c>
      <c r="L839" s="5">
        <v>850</v>
      </c>
      <c r="M839" s="5">
        <v>0.6</v>
      </c>
      <c r="N839" s="5">
        <v>1138.6340612208289</v>
      </c>
      <c r="O839" s="5">
        <v>559</v>
      </c>
      <c r="P839" s="5" t="s">
        <v>145</v>
      </c>
      <c r="Q839" s="5" t="s">
        <v>55</v>
      </c>
      <c r="R839" s="5" t="s">
        <v>129</v>
      </c>
      <c r="S839" s="7" t="s">
        <v>621</v>
      </c>
    </row>
    <row r="840" spans="1:19" x14ac:dyDescent="0.35">
      <c r="A840" s="6">
        <v>11045890</v>
      </c>
      <c r="B840" s="5" t="s">
        <v>250</v>
      </c>
      <c r="C840" s="5" t="s">
        <v>163</v>
      </c>
      <c r="D840" s="5" t="s">
        <v>162</v>
      </c>
      <c r="E840" s="5" t="s">
        <v>133</v>
      </c>
      <c r="F840" s="5" t="s">
        <v>618</v>
      </c>
      <c r="G840" s="5"/>
      <c r="H840" s="5">
        <v>2299</v>
      </c>
      <c r="I840" s="5" t="s">
        <v>178</v>
      </c>
      <c r="J840" s="5" t="s">
        <v>222</v>
      </c>
      <c r="K840" s="5">
        <v>4.0999999999999996</v>
      </c>
      <c r="L840" s="5">
        <v>850</v>
      </c>
      <c r="M840" s="5">
        <v>0.55000000000000004</v>
      </c>
      <c r="N840" s="5">
        <v>1790.0851063829789</v>
      </c>
      <c r="O840" s="5"/>
      <c r="P840" s="5" t="s">
        <v>222</v>
      </c>
      <c r="Q840" s="5" t="s">
        <v>55</v>
      </c>
      <c r="R840" s="5" t="s">
        <v>129</v>
      </c>
      <c r="S840" s="7" t="s">
        <v>619</v>
      </c>
    </row>
    <row r="841" spans="1:19" x14ac:dyDescent="0.35">
      <c r="A841" s="6">
        <v>12960838</v>
      </c>
      <c r="B841" s="5" t="s">
        <v>616</v>
      </c>
      <c r="C841" s="5" t="s">
        <v>135</v>
      </c>
      <c r="D841" s="5" t="s">
        <v>377</v>
      </c>
      <c r="E841" s="5" t="s">
        <v>140</v>
      </c>
      <c r="F841" s="5" t="s">
        <v>615</v>
      </c>
      <c r="G841" s="5">
        <v>1349</v>
      </c>
      <c r="H841" s="5">
        <v>2999</v>
      </c>
      <c r="I841" s="5" t="s">
        <v>178</v>
      </c>
      <c r="J841" s="5" t="s">
        <v>196</v>
      </c>
      <c r="K841" s="5">
        <v>4</v>
      </c>
      <c r="L841" s="5">
        <v>849</v>
      </c>
      <c r="M841" s="5">
        <v>0.55000000000000004</v>
      </c>
      <c r="N841" s="5">
        <v>1493.337491012077</v>
      </c>
      <c r="O841" s="5">
        <v>1349</v>
      </c>
      <c r="P841" s="5" t="s">
        <v>196</v>
      </c>
      <c r="Q841" s="5" t="s">
        <v>55</v>
      </c>
      <c r="R841" s="5" t="s">
        <v>129</v>
      </c>
      <c r="S841" s="7" t="s">
        <v>617</v>
      </c>
    </row>
    <row r="842" spans="1:19" x14ac:dyDescent="0.35">
      <c r="A842" s="6">
        <v>1395990</v>
      </c>
      <c r="B842" s="5" t="s">
        <v>397</v>
      </c>
      <c r="C842" s="5" t="s">
        <v>142</v>
      </c>
      <c r="D842" s="5" t="s">
        <v>215</v>
      </c>
      <c r="E842" s="5" t="s">
        <v>140</v>
      </c>
      <c r="F842" s="5" t="s">
        <v>613</v>
      </c>
      <c r="G842" s="5">
        <v>474</v>
      </c>
      <c r="H842" s="5">
        <v>1899</v>
      </c>
      <c r="I842" s="5" t="s">
        <v>310</v>
      </c>
      <c r="J842" s="5" t="s">
        <v>212</v>
      </c>
      <c r="K842" s="5">
        <v>3.9</v>
      </c>
      <c r="L842" s="5">
        <v>849</v>
      </c>
      <c r="M842" s="5">
        <v>0.75</v>
      </c>
      <c r="N842" s="5">
        <v>1138.6340612208289</v>
      </c>
      <c r="O842" s="5">
        <v>474</v>
      </c>
      <c r="P842" s="5" t="s">
        <v>212</v>
      </c>
      <c r="Q842" s="5" t="s">
        <v>55</v>
      </c>
      <c r="R842" s="5" t="s">
        <v>129</v>
      </c>
      <c r="S842" s="7" t="s">
        <v>614</v>
      </c>
    </row>
    <row r="843" spans="1:19" x14ac:dyDescent="0.35">
      <c r="A843" s="6">
        <v>5432681</v>
      </c>
      <c r="B843" s="5" t="s">
        <v>329</v>
      </c>
      <c r="C843" s="5" t="s">
        <v>273</v>
      </c>
      <c r="D843" s="5" t="s">
        <v>272</v>
      </c>
      <c r="E843" s="5" t="s">
        <v>133</v>
      </c>
      <c r="F843" s="5" t="s">
        <v>611</v>
      </c>
      <c r="G843" s="5">
        <v>477</v>
      </c>
      <c r="H843" s="5">
        <v>645</v>
      </c>
      <c r="I843" s="5" t="s">
        <v>610</v>
      </c>
      <c r="J843" s="5" t="s">
        <v>609</v>
      </c>
      <c r="K843" s="5">
        <v>4.3</v>
      </c>
      <c r="L843" s="5">
        <v>849</v>
      </c>
      <c r="M843" s="5">
        <v>0.26</v>
      </c>
      <c r="N843" s="5">
        <v>811.90284167198604</v>
      </c>
      <c r="O843" s="5">
        <v>477</v>
      </c>
      <c r="P843" s="5" t="s">
        <v>609</v>
      </c>
      <c r="Q843" s="5" t="s">
        <v>57</v>
      </c>
      <c r="R843" s="5" t="s">
        <v>129</v>
      </c>
      <c r="S843" s="7" t="s">
        <v>612</v>
      </c>
    </row>
    <row r="844" spans="1:19" x14ac:dyDescent="0.35">
      <c r="A844" s="6">
        <v>12524814</v>
      </c>
      <c r="B844" s="5" t="s">
        <v>143</v>
      </c>
      <c r="C844" s="5" t="s">
        <v>235</v>
      </c>
      <c r="D844" s="5" t="s">
        <v>168</v>
      </c>
      <c r="E844" s="5" t="s">
        <v>133</v>
      </c>
      <c r="F844" s="5" t="s">
        <v>607</v>
      </c>
      <c r="G844" s="5">
        <v>699</v>
      </c>
      <c r="H844" s="5">
        <v>1399</v>
      </c>
      <c r="I844" s="5" t="s">
        <v>209</v>
      </c>
      <c r="J844" s="5" t="s">
        <v>177</v>
      </c>
      <c r="K844" s="5">
        <v>4</v>
      </c>
      <c r="L844" s="5">
        <v>849</v>
      </c>
      <c r="M844" s="5">
        <v>0.5</v>
      </c>
      <c r="N844" s="5">
        <v>923.69459774582197</v>
      </c>
      <c r="O844" s="5">
        <v>699</v>
      </c>
      <c r="P844" s="5" t="s">
        <v>177</v>
      </c>
      <c r="Q844" s="5" t="s">
        <v>57</v>
      </c>
      <c r="R844" s="5" t="s">
        <v>129</v>
      </c>
      <c r="S844" s="7" t="s">
        <v>608</v>
      </c>
    </row>
    <row r="845" spans="1:19" x14ac:dyDescent="0.35">
      <c r="A845" s="6">
        <v>7270152</v>
      </c>
      <c r="B845" s="5" t="s">
        <v>143</v>
      </c>
      <c r="C845" s="5" t="s">
        <v>235</v>
      </c>
      <c r="D845" s="5" t="s">
        <v>168</v>
      </c>
      <c r="E845" s="5" t="s">
        <v>133</v>
      </c>
      <c r="F845" s="5" t="s">
        <v>605</v>
      </c>
      <c r="G845" s="5">
        <v>899</v>
      </c>
      <c r="H845" s="5">
        <v>1999</v>
      </c>
      <c r="I845" s="5" t="s">
        <v>178</v>
      </c>
      <c r="J845" s="5" t="s">
        <v>391</v>
      </c>
      <c r="K845" s="5">
        <v>4</v>
      </c>
      <c r="L845" s="5">
        <v>849</v>
      </c>
      <c r="M845" s="5">
        <v>0.55000000000000004</v>
      </c>
      <c r="N845" s="5">
        <v>923.69459774582197</v>
      </c>
      <c r="O845" s="5">
        <v>899</v>
      </c>
      <c r="P845" s="5" t="s">
        <v>391</v>
      </c>
      <c r="Q845" s="5" t="s">
        <v>55</v>
      </c>
      <c r="R845" s="5" t="s">
        <v>129</v>
      </c>
      <c r="S845" s="7" t="s">
        <v>606</v>
      </c>
    </row>
    <row r="846" spans="1:19" x14ac:dyDescent="0.35">
      <c r="A846" s="6">
        <v>11640718</v>
      </c>
      <c r="B846" s="5" t="s">
        <v>152</v>
      </c>
      <c r="C846" s="5" t="s">
        <v>189</v>
      </c>
      <c r="D846" s="5" t="s">
        <v>199</v>
      </c>
      <c r="E846" s="5" t="s">
        <v>140</v>
      </c>
      <c r="F846" s="5" t="s">
        <v>603</v>
      </c>
      <c r="G846" s="5"/>
      <c r="H846" s="5">
        <v>1199</v>
      </c>
      <c r="I846" s="5"/>
      <c r="J846" s="5" t="s">
        <v>150</v>
      </c>
      <c r="K846" s="5">
        <v>4.2</v>
      </c>
      <c r="L846" s="5">
        <v>848</v>
      </c>
      <c r="M846" s="5"/>
      <c r="N846" s="5">
        <v>1351.2078667815099</v>
      </c>
      <c r="O846" s="5">
        <v>1351.2078667815099</v>
      </c>
      <c r="P846" s="5" t="s">
        <v>150</v>
      </c>
      <c r="Q846" s="5" t="s">
        <v>57</v>
      </c>
      <c r="R846" s="5" t="s">
        <v>129</v>
      </c>
      <c r="S846" s="7" t="s">
        <v>604</v>
      </c>
    </row>
    <row r="847" spans="1:19" x14ac:dyDescent="0.35">
      <c r="A847" s="6">
        <v>13204530</v>
      </c>
      <c r="B847" s="5" t="s">
        <v>225</v>
      </c>
      <c r="C847" s="5" t="s">
        <v>189</v>
      </c>
      <c r="D847" s="5" t="s">
        <v>188</v>
      </c>
      <c r="E847" s="5" t="s">
        <v>140</v>
      </c>
      <c r="F847" s="5" t="s">
        <v>601</v>
      </c>
      <c r="G847" s="5">
        <v>624</v>
      </c>
      <c r="H847" s="5">
        <v>2499</v>
      </c>
      <c r="I847" s="5" t="s">
        <v>310</v>
      </c>
      <c r="J847" s="5" t="s">
        <v>408</v>
      </c>
      <c r="K847" s="5">
        <v>4</v>
      </c>
      <c r="L847" s="5">
        <v>848</v>
      </c>
      <c r="M847" s="5">
        <v>0.75</v>
      </c>
      <c r="N847" s="5">
        <v>1351.2078667815099</v>
      </c>
      <c r="O847" s="5">
        <v>624</v>
      </c>
      <c r="P847" s="5" t="s">
        <v>408</v>
      </c>
      <c r="Q847" s="5" t="s">
        <v>55</v>
      </c>
      <c r="R847" s="5" t="s">
        <v>129</v>
      </c>
      <c r="S847" s="7" t="s">
        <v>602</v>
      </c>
    </row>
    <row r="848" spans="1:19" x14ac:dyDescent="0.35">
      <c r="A848" s="6">
        <v>2520652</v>
      </c>
      <c r="B848" s="5" t="s">
        <v>152</v>
      </c>
      <c r="C848" s="5" t="s">
        <v>189</v>
      </c>
      <c r="D848" s="5" t="s">
        <v>199</v>
      </c>
      <c r="E848" s="5" t="s">
        <v>140</v>
      </c>
      <c r="F848" s="5" t="s">
        <v>599</v>
      </c>
      <c r="G848" s="5">
        <v>949</v>
      </c>
      <c r="H848" s="5">
        <v>1899</v>
      </c>
      <c r="I848" s="5" t="s">
        <v>209</v>
      </c>
      <c r="J848" s="5" t="s">
        <v>150</v>
      </c>
      <c r="K848" s="5">
        <v>4.0999999999999996</v>
      </c>
      <c r="L848" s="5">
        <v>848</v>
      </c>
      <c r="M848" s="5">
        <v>0.5</v>
      </c>
      <c r="N848" s="5">
        <v>1351.2078667815099</v>
      </c>
      <c r="O848" s="5">
        <v>949</v>
      </c>
      <c r="P848" s="5" t="s">
        <v>150</v>
      </c>
      <c r="Q848" s="5" t="s">
        <v>57</v>
      </c>
      <c r="R848" s="5" t="s">
        <v>129</v>
      </c>
      <c r="S848" s="7" t="s">
        <v>600</v>
      </c>
    </row>
    <row r="849" spans="1:19" x14ac:dyDescent="0.35">
      <c r="A849" s="6">
        <v>8225991</v>
      </c>
      <c r="B849" s="5" t="s">
        <v>250</v>
      </c>
      <c r="C849" s="5" t="s">
        <v>142</v>
      </c>
      <c r="D849" s="5" t="s">
        <v>141</v>
      </c>
      <c r="E849" s="5" t="s">
        <v>140</v>
      </c>
      <c r="F849" s="5" t="s">
        <v>597</v>
      </c>
      <c r="G849" s="5">
        <v>749</v>
      </c>
      <c r="H849" s="5">
        <v>1499</v>
      </c>
      <c r="I849" s="5" t="s">
        <v>209</v>
      </c>
      <c r="J849" s="5" t="s">
        <v>348</v>
      </c>
      <c r="K849" s="5">
        <v>4.2</v>
      </c>
      <c r="L849" s="5">
        <v>848</v>
      </c>
      <c r="M849" s="5">
        <v>0.5</v>
      </c>
      <c r="N849" s="5">
        <v>1138.6340612208289</v>
      </c>
      <c r="O849" s="5">
        <v>749</v>
      </c>
      <c r="P849" s="5" t="s">
        <v>348</v>
      </c>
      <c r="Q849" s="5" t="s">
        <v>57</v>
      </c>
      <c r="R849" s="5" t="s">
        <v>129</v>
      </c>
      <c r="S849" s="7" t="s">
        <v>598</v>
      </c>
    </row>
    <row r="850" spans="1:19" x14ac:dyDescent="0.35">
      <c r="A850" s="6">
        <v>11228146</v>
      </c>
      <c r="B850" s="5" t="s">
        <v>329</v>
      </c>
      <c r="C850" s="5" t="s">
        <v>273</v>
      </c>
      <c r="D850" s="5" t="s">
        <v>272</v>
      </c>
      <c r="E850" s="5" t="s">
        <v>133</v>
      </c>
      <c r="F850" s="5" t="s">
        <v>595</v>
      </c>
      <c r="G850" s="5">
        <v>426</v>
      </c>
      <c r="H850" s="5">
        <v>449</v>
      </c>
      <c r="I850" s="5" t="s">
        <v>594</v>
      </c>
      <c r="J850" s="5" t="s">
        <v>593</v>
      </c>
      <c r="K850" s="5">
        <v>4.0999999999999996</v>
      </c>
      <c r="L850" s="5">
        <v>848</v>
      </c>
      <c r="M850" s="5">
        <v>0.05</v>
      </c>
      <c r="N850" s="5">
        <v>811.90284167198604</v>
      </c>
      <c r="O850" s="5">
        <v>426</v>
      </c>
      <c r="P850" s="5" t="s">
        <v>593</v>
      </c>
      <c r="Q850" s="5" t="s">
        <v>57</v>
      </c>
      <c r="R850" s="5" t="s">
        <v>129</v>
      </c>
      <c r="S850" s="7" t="s">
        <v>596</v>
      </c>
    </row>
    <row r="851" spans="1:19" x14ac:dyDescent="0.35">
      <c r="A851" s="6">
        <v>12415698</v>
      </c>
      <c r="B851" s="5" t="s">
        <v>329</v>
      </c>
      <c r="C851" s="5" t="s">
        <v>273</v>
      </c>
      <c r="D851" s="5" t="s">
        <v>272</v>
      </c>
      <c r="E851" s="5" t="s">
        <v>133</v>
      </c>
      <c r="F851" s="5" t="s">
        <v>591</v>
      </c>
      <c r="G851" s="5">
        <v>447</v>
      </c>
      <c r="H851" s="5">
        <v>799</v>
      </c>
      <c r="I851" s="5" t="s">
        <v>590</v>
      </c>
      <c r="J851" s="5" t="s">
        <v>589</v>
      </c>
      <c r="K851" s="5">
        <v>4.4000000000000004</v>
      </c>
      <c r="L851" s="5">
        <v>848</v>
      </c>
      <c r="M851" s="5">
        <v>0.44</v>
      </c>
      <c r="N851" s="5">
        <v>811.90284167198604</v>
      </c>
      <c r="O851" s="5">
        <v>447</v>
      </c>
      <c r="P851" s="5" t="s">
        <v>589</v>
      </c>
      <c r="Q851" s="5" t="s">
        <v>57</v>
      </c>
      <c r="R851" s="5" t="s">
        <v>129</v>
      </c>
      <c r="S851" s="7" t="s">
        <v>592</v>
      </c>
    </row>
    <row r="852" spans="1:19" x14ac:dyDescent="0.35">
      <c r="A852" s="6">
        <v>12335282</v>
      </c>
      <c r="B852" s="5" t="s">
        <v>250</v>
      </c>
      <c r="C852" s="5" t="s">
        <v>163</v>
      </c>
      <c r="D852" s="5" t="s">
        <v>215</v>
      </c>
      <c r="E852" s="5" t="s">
        <v>133</v>
      </c>
      <c r="F852" s="5" t="s">
        <v>587</v>
      </c>
      <c r="G852" s="5"/>
      <c r="H852" s="5">
        <v>1399</v>
      </c>
      <c r="I852" s="5" t="s">
        <v>252</v>
      </c>
      <c r="J852" s="5" t="s">
        <v>196</v>
      </c>
      <c r="K852" s="5">
        <v>4.2</v>
      </c>
      <c r="L852" s="5">
        <v>848</v>
      </c>
      <c r="M852" s="5">
        <v>0.6</v>
      </c>
      <c r="N852" s="5">
        <v>1790.0851063829789</v>
      </c>
      <c r="O852" s="5"/>
      <c r="P852" s="5" t="s">
        <v>196</v>
      </c>
      <c r="Q852" s="5" t="s">
        <v>55</v>
      </c>
      <c r="R852" s="5" t="s">
        <v>129</v>
      </c>
      <c r="S852" s="7" t="s">
        <v>588</v>
      </c>
    </row>
    <row r="853" spans="1:19" x14ac:dyDescent="0.35">
      <c r="A853" s="6">
        <v>17382032</v>
      </c>
      <c r="B853" s="5" t="s">
        <v>250</v>
      </c>
      <c r="C853" s="5" t="s">
        <v>163</v>
      </c>
      <c r="D853" s="5" t="s">
        <v>77</v>
      </c>
      <c r="E853" s="5" t="s">
        <v>133</v>
      </c>
      <c r="F853" s="5" t="s">
        <v>585</v>
      </c>
      <c r="G853" s="5"/>
      <c r="H853" s="5">
        <v>1598</v>
      </c>
      <c r="I853" s="5" t="s">
        <v>209</v>
      </c>
      <c r="J853" s="5" t="s">
        <v>192</v>
      </c>
      <c r="K853" s="5">
        <v>4.0999999999999996</v>
      </c>
      <c r="L853" s="5">
        <v>848</v>
      </c>
      <c r="M853" s="5">
        <v>0.5</v>
      </c>
      <c r="N853" s="5">
        <v>1790.0851063829789</v>
      </c>
      <c r="O853" s="5"/>
      <c r="P853" s="5" t="s">
        <v>192</v>
      </c>
      <c r="Q853" s="5" t="s">
        <v>57</v>
      </c>
      <c r="R853" s="5" t="s">
        <v>129</v>
      </c>
      <c r="S853" s="7" t="s">
        <v>586</v>
      </c>
    </row>
    <row r="854" spans="1:19" x14ac:dyDescent="0.35">
      <c r="A854" s="6">
        <v>10986454</v>
      </c>
      <c r="B854" s="5" t="s">
        <v>152</v>
      </c>
      <c r="C854" s="5" t="s">
        <v>156</v>
      </c>
      <c r="D854" s="5" t="s">
        <v>220</v>
      </c>
      <c r="E854" s="5" t="s">
        <v>140</v>
      </c>
      <c r="F854" s="5" t="s">
        <v>583</v>
      </c>
      <c r="G854" s="5"/>
      <c r="H854" s="5">
        <v>499</v>
      </c>
      <c r="I854" s="5"/>
      <c r="J854" s="5" t="s">
        <v>171</v>
      </c>
      <c r="K854" s="5">
        <v>4.5</v>
      </c>
      <c r="L854" s="5">
        <v>847</v>
      </c>
      <c r="M854" s="5"/>
      <c r="N854" s="5">
        <v>691.83976143141149</v>
      </c>
      <c r="O854" s="5">
        <v>691.83976143141149</v>
      </c>
      <c r="P854" s="5" t="s">
        <v>171</v>
      </c>
      <c r="Q854" s="5" t="s">
        <v>57</v>
      </c>
      <c r="R854" s="5" t="s">
        <v>129</v>
      </c>
      <c r="S854" s="7" t="s">
        <v>584</v>
      </c>
    </row>
    <row r="855" spans="1:19" x14ac:dyDescent="0.35">
      <c r="A855" s="6">
        <v>11903984</v>
      </c>
      <c r="B855" s="5" t="s">
        <v>250</v>
      </c>
      <c r="C855" s="5" t="s">
        <v>142</v>
      </c>
      <c r="D855" s="5" t="s">
        <v>141</v>
      </c>
      <c r="E855" s="5" t="s">
        <v>140</v>
      </c>
      <c r="F855" s="5" t="s">
        <v>581</v>
      </c>
      <c r="G855" s="5">
        <v>599</v>
      </c>
      <c r="H855" s="5">
        <v>1199</v>
      </c>
      <c r="I855" s="5" t="s">
        <v>209</v>
      </c>
      <c r="J855" s="5" t="s">
        <v>348</v>
      </c>
      <c r="K855" s="5">
        <v>4.0999999999999996</v>
      </c>
      <c r="L855" s="5">
        <v>847</v>
      </c>
      <c r="M855" s="5">
        <v>0.5</v>
      </c>
      <c r="N855" s="5">
        <v>1138.6340612208289</v>
      </c>
      <c r="O855" s="5">
        <v>599</v>
      </c>
      <c r="P855" s="5" t="s">
        <v>348</v>
      </c>
      <c r="Q855" s="5" t="s">
        <v>57</v>
      </c>
      <c r="R855" s="5" t="s">
        <v>129</v>
      </c>
      <c r="S855" s="7" t="s">
        <v>582</v>
      </c>
    </row>
    <row r="856" spans="1:19" x14ac:dyDescent="0.35">
      <c r="A856" s="6">
        <v>9345341</v>
      </c>
      <c r="B856" s="5" t="s">
        <v>250</v>
      </c>
      <c r="C856" s="5" t="s">
        <v>142</v>
      </c>
      <c r="D856" s="5" t="s">
        <v>77</v>
      </c>
      <c r="E856" s="5" t="s">
        <v>140</v>
      </c>
      <c r="F856" s="5" t="s">
        <v>579</v>
      </c>
      <c r="G856" s="5">
        <v>519</v>
      </c>
      <c r="H856" s="5">
        <v>1299</v>
      </c>
      <c r="I856" s="5" t="s">
        <v>223</v>
      </c>
      <c r="J856" s="5" t="s">
        <v>212</v>
      </c>
      <c r="K856" s="5">
        <v>4.0999999999999996</v>
      </c>
      <c r="L856" s="5">
        <v>847</v>
      </c>
      <c r="M856" s="5">
        <v>0.6</v>
      </c>
      <c r="N856" s="5">
        <v>1138.6340612208289</v>
      </c>
      <c r="O856" s="5">
        <v>519</v>
      </c>
      <c r="P856" s="5" t="s">
        <v>212</v>
      </c>
      <c r="Q856" s="5" t="s">
        <v>55</v>
      </c>
      <c r="R856" s="5" t="s">
        <v>129</v>
      </c>
      <c r="S856" s="7" t="s">
        <v>580</v>
      </c>
    </row>
    <row r="857" spans="1:19" x14ac:dyDescent="0.35">
      <c r="A857" s="6">
        <v>11069362</v>
      </c>
      <c r="B857" s="5" t="s">
        <v>148</v>
      </c>
      <c r="C857" s="5" t="s">
        <v>142</v>
      </c>
      <c r="D857" s="5" t="s">
        <v>141</v>
      </c>
      <c r="E857" s="5" t="s">
        <v>140</v>
      </c>
      <c r="F857" s="5" t="s">
        <v>577</v>
      </c>
      <c r="G857" s="5">
        <v>511</v>
      </c>
      <c r="H857" s="5">
        <v>1549</v>
      </c>
      <c r="I857" s="5" t="s">
        <v>146</v>
      </c>
      <c r="J857" s="5" t="s">
        <v>145</v>
      </c>
      <c r="K857" s="5">
        <v>4.2</v>
      </c>
      <c r="L857" s="5">
        <v>847</v>
      </c>
      <c r="M857" s="5">
        <v>0.67</v>
      </c>
      <c r="N857" s="5">
        <v>1138.6340612208289</v>
      </c>
      <c r="O857" s="5">
        <v>511</v>
      </c>
      <c r="P857" s="5" t="s">
        <v>145</v>
      </c>
      <c r="Q857" s="5" t="s">
        <v>55</v>
      </c>
      <c r="R857" s="5" t="s">
        <v>129</v>
      </c>
      <c r="S857" s="7" t="s">
        <v>578</v>
      </c>
    </row>
    <row r="858" spans="1:19" x14ac:dyDescent="0.35">
      <c r="A858" s="6">
        <v>14028894</v>
      </c>
      <c r="B858" s="5" t="s">
        <v>575</v>
      </c>
      <c r="C858" s="5" t="s">
        <v>273</v>
      </c>
      <c r="D858" s="5" t="s">
        <v>442</v>
      </c>
      <c r="E858" s="5" t="s">
        <v>133</v>
      </c>
      <c r="F858" s="5" t="s">
        <v>574</v>
      </c>
      <c r="G858" s="5">
        <v>524</v>
      </c>
      <c r="H858" s="5">
        <v>699</v>
      </c>
      <c r="I858" s="5" t="s">
        <v>573</v>
      </c>
      <c r="J858" s="5" t="s">
        <v>572</v>
      </c>
      <c r="K858" s="5">
        <v>4.0999999999999996</v>
      </c>
      <c r="L858" s="5">
        <v>847</v>
      </c>
      <c r="M858" s="5">
        <v>0.25</v>
      </c>
      <c r="N858" s="5">
        <v>811.90284167198604</v>
      </c>
      <c r="O858" s="5">
        <v>524</v>
      </c>
      <c r="P858" s="5" t="s">
        <v>572</v>
      </c>
      <c r="Q858" s="5" t="s">
        <v>57</v>
      </c>
      <c r="R858" s="5" t="s">
        <v>129</v>
      </c>
      <c r="S858" s="7" t="s">
        <v>576</v>
      </c>
    </row>
    <row r="859" spans="1:19" x14ac:dyDescent="0.35">
      <c r="A859" s="6">
        <v>11174192</v>
      </c>
      <c r="B859" s="5" t="s">
        <v>180</v>
      </c>
      <c r="C859" s="5" t="s">
        <v>235</v>
      </c>
      <c r="D859" s="5" t="s">
        <v>228</v>
      </c>
      <c r="E859" s="5" t="s">
        <v>133</v>
      </c>
      <c r="F859" s="5" t="s">
        <v>570</v>
      </c>
      <c r="G859" s="5">
        <v>1199</v>
      </c>
      <c r="H859" s="5">
        <v>1999</v>
      </c>
      <c r="I859" s="5" t="s">
        <v>131</v>
      </c>
      <c r="J859" s="5" t="s">
        <v>177</v>
      </c>
      <c r="K859" s="5">
        <v>4.2</v>
      </c>
      <c r="L859" s="5">
        <v>847</v>
      </c>
      <c r="M859" s="5">
        <v>0.4</v>
      </c>
      <c r="N859" s="5">
        <v>923.69459774582197</v>
      </c>
      <c r="O859" s="5">
        <v>1199</v>
      </c>
      <c r="P859" s="5" t="s">
        <v>177</v>
      </c>
      <c r="Q859" s="5" t="s">
        <v>57</v>
      </c>
      <c r="R859" s="5" t="s">
        <v>129</v>
      </c>
      <c r="S859" s="7" t="s">
        <v>571</v>
      </c>
    </row>
    <row r="860" spans="1:19" x14ac:dyDescent="0.35">
      <c r="A860" s="6">
        <v>10106321</v>
      </c>
      <c r="B860" s="5" t="s">
        <v>152</v>
      </c>
      <c r="C860" s="5" t="s">
        <v>75</v>
      </c>
      <c r="D860" s="5" t="s">
        <v>568</v>
      </c>
      <c r="E860" s="5" t="s">
        <v>133</v>
      </c>
      <c r="F860" s="5" t="s">
        <v>567</v>
      </c>
      <c r="G860" s="5">
        <v>809</v>
      </c>
      <c r="H860" s="5">
        <v>1799</v>
      </c>
      <c r="I860" s="5" t="s">
        <v>178</v>
      </c>
      <c r="J860" s="5" t="s">
        <v>196</v>
      </c>
      <c r="K860" s="5">
        <v>4.2</v>
      </c>
      <c r="L860" s="5">
        <v>847</v>
      </c>
      <c r="M860" s="5">
        <v>0.55000000000000004</v>
      </c>
      <c r="N860" s="5">
        <v>1097.3783736315199</v>
      </c>
      <c r="O860" s="5">
        <v>809</v>
      </c>
      <c r="P860" s="5" t="s">
        <v>196</v>
      </c>
      <c r="Q860" s="5" t="s">
        <v>55</v>
      </c>
      <c r="R860" s="5" t="s">
        <v>129</v>
      </c>
      <c r="S860" s="7" t="s">
        <v>569</v>
      </c>
    </row>
    <row r="861" spans="1:19" x14ac:dyDescent="0.35">
      <c r="A861" s="6">
        <v>9205397</v>
      </c>
      <c r="B861" s="5" t="s">
        <v>250</v>
      </c>
      <c r="C861" s="5" t="s">
        <v>163</v>
      </c>
      <c r="D861" s="5" t="s">
        <v>162</v>
      </c>
      <c r="E861" s="5" t="s">
        <v>133</v>
      </c>
      <c r="F861" s="5" t="s">
        <v>565</v>
      </c>
      <c r="G861" s="5"/>
      <c r="H861" s="5">
        <v>1699</v>
      </c>
      <c r="I861" s="5" t="s">
        <v>178</v>
      </c>
      <c r="J861" s="5" t="s">
        <v>222</v>
      </c>
      <c r="K861" s="5">
        <v>4</v>
      </c>
      <c r="L861" s="5">
        <v>847</v>
      </c>
      <c r="M861" s="5">
        <v>0.55000000000000004</v>
      </c>
      <c r="N861" s="5">
        <v>1790.0851063829789</v>
      </c>
      <c r="O861" s="5"/>
      <c r="P861" s="5" t="s">
        <v>222</v>
      </c>
      <c r="Q861" s="5" t="s">
        <v>55</v>
      </c>
      <c r="R861" s="5" t="s">
        <v>129</v>
      </c>
      <c r="S861" s="7" t="s">
        <v>566</v>
      </c>
    </row>
    <row r="862" spans="1:19" x14ac:dyDescent="0.35">
      <c r="A862" s="6">
        <v>12209962</v>
      </c>
      <c r="B862" s="5" t="s">
        <v>164</v>
      </c>
      <c r="C862" s="5" t="s">
        <v>163</v>
      </c>
      <c r="D862" s="5" t="s">
        <v>188</v>
      </c>
      <c r="E862" s="5" t="s">
        <v>133</v>
      </c>
      <c r="F862" s="5" t="s">
        <v>563</v>
      </c>
      <c r="G862" s="5"/>
      <c r="H862" s="5">
        <v>1849</v>
      </c>
      <c r="I862" s="5" t="s">
        <v>160</v>
      </c>
      <c r="J862" s="5" t="s">
        <v>159</v>
      </c>
      <c r="K862" s="5">
        <v>4.2</v>
      </c>
      <c r="L862" s="5">
        <v>847</v>
      </c>
      <c r="M862" s="5">
        <v>0.59</v>
      </c>
      <c r="N862" s="5">
        <v>1790.0851063829789</v>
      </c>
      <c r="O862" s="5"/>
      <c r="P862" s="5" t="s">
        <v>159</v>
      </c>
      <c r="Q862" s="5" t="s">
        <v>55</v>
      </c>
      <c r="R862" s="5" t="s">
        <v>129</v>
      </c>
      <c r="S862" s="7" t="s">
        <v>564</v>
      </c>
    </row>
    <row r="863" spans="1:19" x14ac:dyDescent="0.35">
      <c r="A863" s="6">
        <v>8120171</v>
      </c>
      <c r="B863" s="5" t="s">
        <v>190</v>
      </c>
      <c r="C863" s="5" t="s">
        <v>189</v>
      </c>
      <c r="D863" s="5" t="s">
        <v>418</v>
      </c>
      <c r="E863" s="5" t="s">
        <v>140</v>
      </c>
      <c r="F863" s="5" t="s">
        <v>561</v>
      </c>
      <c r="G863" s="5">
        <v>554</v>
      </c>
      <c r="H863" s="5">
        <v>1499</v>
      </c>
      <c r="I863" s="5" t="s">
        <v>392</v>
      </c>
      <c r="J863" s="5" t="s">
        <v>380</v>
      </c>
      <c r="K863" s="5">
        <v>4</v>
      </c>
      <c r="L863" s="5">
        <v>846</v>
      </c>
      <c r="M863" s="5">
        <v>0.63</v>
      </c>
      <c r="N863" s="5">
        <v>1351.2078667815099</v>
      </c>
      <c r="O863" s="5">
        <v>554</v>
      </c>
      <c r="P863" s="5" t="s">
        <v>380</v>
      </c>
      <c r="Q863" s="5" t="s">
        <v>55</v>
      </c>
      <c r="R863" s="5" t="s">
        <v>129</v>
      </c>
      <c r="S863" s="7" t="s">
        <v>562</v>
      </c>
    </row>
    <row r="864" spans="1:19" x14ac:dyDescent="0.35">
      <c r="A864" s="6">
        <v>2339490</v>
      </c>
      <c r="B864" s="5" t="s">
        <v>183</v>
      </c>
      <c r="C864" s="5" t="s">
        <v>142</v>
      </c>
      <c r="D864" s="5" t="s">
        <v>77</v>
      </c>
      <c r="E864" s="5" t="s">
        <v>140</v>
      </c>
      <c r="F864" s="5" t="s">
        <v>559</v>
      </c>
      <c r="G864" s="5">
        <v>749</v>
      </c>
      <c r="H864" s="5">
        <v>1499</v>
      </c>
      <c r="I864" s="5" t="s">
        <v>209</v>
      </c>
      <c r="J864" s="5" t="s">
        <v>150</v>
      </c>
      <c r="K864" s="5">
        <v>4.2</v>
      </c>
      <c r="L864" s="5">
        <v>846</v>
      </c>
      <c r="M864" s="5">
        <v>0.5</v>
      </c>
      <c r="N864" s="5">
        <v>1138.6340612208289</v>
      </c>
      <c r="O864" s="5">
        <v>749</v>
      </c>
      <c r="P864" s="5" t="s">
        <v>150</v>
      </c>
      <c r="Q864" s="5" t="s">
        <v>57</v>
      </c>
      <c r="R864" s="5" t="s">
        <v>129</v>
      </c>
      <c r="S864" s="7" t="s">
        <v>560</v>
      </c>
    </row>
    <row r="865" spans="1:19" x14ac:dyDescent="0.35">
      <c r="A865" s="6">
        <v>12398628</v>
      </c>
      <c r="B865" s="5" t="s">
        <v>329</v>
      </c>
      <c r="C865" s="5" t="s">
        <v>273</v>
      </c>
      <c r="D865" s="5" t="s">
        <v>442</v>
      </c>
      <c r="E865" s="5" t="s">
        <v>133</v>
      </c>
      <c r="F865" s="5" t="s">
        <v>557</v>
      </c>
      <c r="G865" s="5">
        <v>311</v>
      </c>
      <c r="H865" s="5">
        <v>399</v>
      </c>
      <c r="I865" s="5" t="s">
        <v>556</v>
      </c>
      <c r="J865" s="5" t="s">
        <v>212</v>
      </c>
      <c r="K865" s="5">
        <v>4.4000000000000004</v>
      </c>
      <c r="L865" s="5">
        <v>846</v>
      </c>
      <c r="M865" s="5">
        <v>0.22</v>
      </c>
      <c r="N865" s="5">
        <v>811.90284167198604</v>
      </c>
      <c r="O865" s="5">
        <v>311</v>
      </c>
      <c r="P865" s="5" t="s">
        <v>212</v>
      </c>
      <c r="Q865" s="5" t="s">
        <v>57</v>
      </c>
      <c r="R865" s="5" t="s">
        <v>129</v>
      </c>
      <c r="S865" s="7" t="s">
        <v>558</v>
      </c>
    </row>
    <row r="866" spans="1:19" x14ac:dyDescent="0.35">
      <c r="A866" s="6">
        <v>10939832</v>
      </c>
      <c r="B866" s="5" t="s">
        <v>200</v>
      </c>
      <c r="C866" s="5" t="s">
        <v>273</v>
      </c>
      <c r="D866" s="5" t="s">
        <v>272</v>
      </c>
      <c r="E866" s="5" t="s">
        <v>133</v>
      </c>
      <c r="F866" s="5" t="s">
        <v>554</v>
      </c>
      <c r="G866" s="5">
        <v>259</v>
      </c>
      <c r="H866" s="5">
        <v>649</v>
      </c>
      <c r="I866" s="5" t="s">
        <v>223</v>
      </c>
      <c r="J866" s="5" t="s">
        <v>553</v>
      </c>
      <c r="K866" s="5">
        <v>4.3</v>
      </c>
      <c r="L866" s="5">
        <v>846</v>
      </c>
      <c r="M866" s="5">
        <v>0.6</v>
      </c>
      <c r="N866" s="5">
        <v>811.90284167198604</v>
      </c>
      <c r="O866" s="5">
        <v>259</v>
      </c>
      <c r="P866" s="5" t="s">
        <v>553</v>
      </c>
      <c r="Q866" s="5" t="s">
        <v>55</v>
      </c>
      <c r="R866" s="5" t="s">
        <v>129</v>
      </c>
      <c r="S866" s="7" t="s">
        <v>555</v>
      </c>
    </row>
    <row r="867" spans="1:19" x14ac:dyDescent="0.35">
      <c r="A867" s="6">
        <v>9382253</v>
      </c>
      <c r="B867" s="5" t="s">
        <v>551</v>
      </c>
      <c r="C867" s="5" t="s">
        <v>273</v>
      </c>
      <c r="D867" s="5" t="s">
        <v>272</v>
      </c>
      <c r="E867" s="5" t="s">
        <v>133</v>
      </c>
      <c r="F867" s="5" t="s">
        <v>550</v>
      </c>
      <c r="G867" s="5">
        <v>441</v>
      </c>
      <c r="H867" s="5">
        <v>700</v>
      </c>
      <c r="I867" s="5" t="s">
        <v>549</v>
      </c>
      <c r="J867" s="5" t="s">
        <v>548</v>
      </c>
      <c r="K867" s="5">
        <v>3.5</v>
      </c>
      <c r="L867" s="5">
        <v>846</v>
      </c>
      <c r="M867" s="5">
        <v>0.37</v>
      </c>
      <c r="N867" s="5">
        <v>811.90284167198604</v>
      </c>
      <c r="O867" s="5">
        <v>441</v>
      </c>
      <c r="P867" s="5" t="s">
        <v>548</v>
      </c>
      <c r="Q867" s="5" t="s">
        <v>57</v>
      </c>
      <c r="R867" s="5" t="s">
        <v>129</v>
      </c>
      <c r="S867" s="7" t="s">
        <v>552</v>
      </c>
    </row>
    <row r="868" spans="1:19" x14ac:dyDescent="0.35">
      <c r="A868" s="6">
        <v>12530334</v>
      </c>
      <c r="B868" s="5" t="s">
        <v>143</v>
      </c>
      <c r="C868" s="5" t="s">
        <v>235</v>
      </c>
      <c r="D868" s="5" t="s">
        <v>168</v>
      </c>
      <c r="E868" s="5" t="s">
        <v>133</v>
      </c>
      <c r="F868" s="5" t="s">
        <v>546</v>
      </c>
      <c r="G868" s="5">
        <v>479</v>
      </c>
      <c r="H868" s="5">
        <v>1199</v>
      </c>
      <c r="I868" s="5" t="s">
        <v>314</v>
      </c>
      <c r="J868" s="5" t="s">
        <v>177</v>
      </c>
      <c r="K868" s="5">
        <v>4</v>
      </c>
      <c r="L868" s="5">
        <v>846</v>
      </c>
      <c r="M868" s="5">
        <v>0.6</v>
      </c>
      <c r="N868" s="5">
        <v>923.69459774582197</v>
      </c>
      <c r="O868" s="5">
        <v>479</v>
      </c>
      <c r="P868" s="5" t="s">
        <v>177</v>
      </c>
      <c r="Q868" s="5" t="s">
        <v>55</v>
      </c>
      <c r="R868" s="5" t="s">
        <v>129</v>
      </c>
      <c r="S868" s="7" t="s">
        <v>547</v>
      </c>
    </row>
    <row r="869" spans="1:19" x14ac:dyDescent="0.35">
      <c r="A869" s="6">
        <v>2299528</v>
      </c>
      <c r="B869" s="5" t="s">
        <v>239</v>
      </c>
      <c r="C869" s="5" t="s">
        <v>235</v>
      </c>
      <c r="D869" s="5" t="s">
        <v>194</v>
      </c>
      <c r="E869" s="5" t="s">
        <v>133</v>
      </c>
      <c r="F869" s="5" t="s">
        <v>544</v>
      </c>
      <c r="G869" s="5">
        <v>659</v>
      </c>
      <c r="H869" s="5">
        <v>2199</v>
      </c>
      <c r="I869" s="5" t="s">
        <v>283</v>
      </c>
      <c r="J869" s="5" t="s">
        <v>237</v>
      </c>
      <c r="K869" s="5">
        <v>4.2</v>
      </c>
      <c r="L869" s="5">
        <v>846</v>
      </c>
      <c r="M869" s="5">
        <v>0.7</v>
      </c>
      <c r="N869" s="5">
        <v>923.69459774582197</v>
      </c>
      <c r="O869" s="5">
        <v>659</v>
      </c>
      <c r="P869" s="5" t="s">
        <v>237</v>
      </c>
      <c r="Q869" s="5" t="s">
        <v>55</v>
      </c>
      <c r="R869" s="5" t="s">
        <v>129</v>
      </c>
      <c r="S869" s="7" t="s">
        <v>545</v>
      </c>
    </row>
    <row r="870" spans="1:19" x14ac:dyDescent="0.35">
      <c r="A870" s="6">
        <v>2202564</v>
      </c>
      <c r="B870" s="5" t="s">
        <v>200</v>
      </c>
      <c r="C870" s="5" t="s">
        <v>163</v>
      </c>
      <c r="D870" s="5" t="s">
        <v>162</v>
      </c>
      <c r="E870" s="5" t="s">
        <v>133</v>
      </c>
      <c r="F870" s="5" t="s">
        <v>542</v>
      </c>
      <c r="G870" s="5"/>
      <c r="H870" s="5">
        <v>1549</v>
      </c>
      <c r="I870" s="5" t="s">
        <v>223</v>
      </c>
      <c r="J870" s="5" t="s">
        <v>222</v>
      </c>
      <c r="K870" s="5">
        <v>4.2</v>
      </c>
      <c r="L870" s="5">
        <v>846</v>
      </c>
      <c r="M870" s="5">
        <v>0.6</v>
      </c>
      <c r="N870" s="5">
        <v>1790.0851063829789</v>
      </c>
      <c r="O870" s="5"/>
      <c r="P870" s="5" t="s">
        <v>222</v>
      </c>
      <c r="Q870" s="5" t="s">
        <v>55</v>
      </c>
      <c r="R870" s="5" t="s">
        <v>129</v>
      </c>
      <c r="S870" s="7" t="s">
        <v>543</v>
      </c>
    </row>
    <row r="871" spans="1:19" x14ac:dyDescent="0.35">
      <c r="A871" s="6">
        <v>11312196</v>
      </c>
      <c r="B871" s="5" t="s">
        <v>540</v>
      </c>
      <c r="C871" s="5" t="s">
        <v>163</v>
      </c>
      <c r="D871" s="5" t="s">
        <v>228</v>
      </c>
      <c r="E871" s="5" t="s">
        <v>133</v>
      </c>
      <c r="F871" s="5" t="s">
        <v>539</v>
      </c>
      <c r="G871" s="5"/>
      <c r="H871" s="5">
        <v>2999</v>
      </c>
      <c r="I871" s="5" t="s">
        <v>36</v>
      </c>
      <c r="J871" s="5" t="s">
        <v>196</v>
      </c>
      <c r="K871" s="5">
        <v>4.3</v>
      </c>
      <c r="L871" s="5">
        <v>846</v>
      </c>
      <c r="M871" s="5">
        <v>0.45</v>
      </c>
      <c r="N871" s="5">
        <v>1790.0851063829789</v>
      </c>
      <c r="O871" s="5"/>
      <c r="P871" s="5" t="s">
        <v>196</v>
      </c>
      <c r="Q871" s="5" t="s">
        <v>57</v>
      </c>
      <c r="R871" s="5" t="s">
        <v>129</v>
      </c>
      <c r="S871" s="7" t="s">
        <v>541</v>
      </c>
    </row>
    <row r="872" spans="1:19" x14ac:dyDescent="0.35">
      <c r="A872" s="6">
        <v>2464258</v>
      </c>
      <c r="B872" s="5" t="s">
        <v>225</v>
      </c>
      <c r="C872" s="5" t="s">
        <v>163</v>
      </c>
      <c r="D872" s="5" t="s">
        <v>77</v>
      </c>
      <c r="E872" s="5" t="s">
        <v>133</v>
      </c>
      <c r="F872" s="5" t="s">
        <v>537</v>
      </c>
      <c r="G872" s="5"/>
      <c r="H872" s="5">
        <v>799</v>
      </c>
      <c r="I872" s="5" t="s">
        <v>223</v>
      </c>
      <c r="J872" s="5" t="s">
        <v>192</v>
      </c>
      <c r="K872" s="5">
        <v>3.9</v>
      </c>
      <c r="L872" s="5">
        <v>846</v>
      </c>
      <c r="M872" s="5">
        <v>0.6</v>
      </c>
      <c r="N872" s="5">
        <v>1790.0851063829789</v>
      </c>
      <c r="O872" s="5"/>
      <c r="P872" s="5" t="s">
        <v>192</v>
      </c>
      <c r="Q872" s="5" t="s">
        <v>55</v>
      </c>
      <c r="R872" s="5" t="s">
        <v>129</v>
      </c>
      <c r="S872" s="7" t="s">
        <v>538</v>
      </c>
    </row>
    <row r="873" spans="1:19" x14ac:dyDescent="0.35">
      <c r="A873" s="6">
        <v>10283867</v>
      </c>
      <c r="B873" s="5" t="s">
        <v>535</v>
      </c>
      <c r="C873" s="5" t="s">
        <v>142</v>
      </c>
      <c r="D873" s="5" t="s">
        <v>77</v>
      </c>
      <c r="E873" s="5" t="s">
        <v>140</v>
      </c>
      <c r="F873" s="5" t="s">
        <v>534</v>
      </c>
      <c r="G873" s="5">
        <v>494</v>
      </c>
      <c r="H873" s="5">
        <v>899</v>
      </c>
      <c r="I873" s="5" t="s">
        <v>36</v>
      </c>
      <c r="J873" s="5" t="s">
        <v>150</v>
      </c>
      <c r="K873" s="5">
        <v>3.5</v>
      </c>
      <c r="L873" s="5">
        <v>845</v>
      </c>
      <c r="M873" s="5">
        <v>0.45</v>
      </c>
      <c r="N873" s="5">
        <v>1138.6340612208289</v>
      </c>
      <c r="O873" s="5">
        <v>494</v>
      </c>
      <c r="P873" s="5" t="s">
        <v>150</v>
      </c>
      <c r="Q873" s="5" t="s">
        <v>57</v>
      </c>
      <c r="R873" s="5" t="s">
        <v>129</v>
      </c>
      <c r="S873" s="7" t="s">
        <v>536</v>
      </c>
    </row>
    <row r="874" spans="1:19" x14ac:dyDescent="0.35">
      <c r="A874" s="6">
        <v>10037083</v>
      </c>
      <c r="B874" s="5" t="s">
        <v>532</v>
      </c>
      <c r="C874" s="5" t="s">
        <v>135</v>
      </c>
      <c r="D874" s="5" t="s">
        <v>174</v>
      </c>
      <c r="E874" s="5" t="s">
        <v>133</v>
      </c>
      <c r="F874" s="5" t="s">
        <v>531</v>
      </c>
      <c r="G874" s="5">
        <v>1399</v>
      </c>
      <c r="H874" s="5">
        <v>3999</v>
      </c>
      <c r="I874" s="5" t="s">
        <v>197</v>
      </c>
      <c r="J874" s="5" t="s">
        <v>171</v>
      </c>
      <c r="K874" s="5">
        <v>4</v>
      </c>
      <c r="L874" s="5">
        <v>845</v>
      </c>
      <c r="M874" s="5">
        <v>0.65</v>
      </c>
      <c r="N874" s="5">
        <v>1493.337491012077</v>
      </c>
      <c r="O874" s="5">
        <v>1399</v>
      </c>
      <c r="P874" s="5" t="s">
        <v>171</v>
      </c>
      <c r="Q874" s="5" t="s">
        <v>55</v>
      </c>
      <c r="R874" s="5" t="s">
        <v>129</v>
      </c>
      <c r="S874" s="7" t="s">
        <v>533</v>
      </c>
    </row>
    <row r="875" spans="1:19" x14ac:dyDescent="0.35">
      <c r="A875" s="6">
        <v>8349249</v>
      </c>
      <c r="B875" s="5" t="s">
        <v>180</v>
      </c>
      <c r="C875" s="5" t="s">
        <v>235</v>
      </c>
      <c r="D875" s="5" t="s">
        <v>228</v>
      </c>
      <c r="E875" s="5" t="s">
        <v>133</v>
      </c>
      <c r="F875" s="5" t="s">
        <v>529</v>
      </c>
      <c r="G875" s="5">
        <v>1299</v>
      </c>
      <c r="H875" s="5">
        <v>1999</v>
      </c>
      <c r="I875" s="5" t="s">
        <v>205</v>
      </c>
      <c r="J875" s="5" t="s">
        <v>177</v>
      </c>
      <c r="K875" s="5">
        <v>4</v>
      </c>
      <c r="L875" s="5">
        <v>845</v>
      </c>
      <c r="M875" s="5">
        <v>0.35</v>
      </c>
      <c r="N875" s="5">
        <v>923.69459774582197</v>
      </c>
      <c r="O875" s="5">
        <v>1299</v>
      </c>
      <c r="P875" s="5" t="s">
        <v>177</v>
      </c>
      <c r="Q875" s="5" t="s">
        <v>57</v>
      </c>
      <c r="R875" s="5" t="s">
        <v>129</v>
      </c>
      <c r="S875" s="7" t="s">
        <v>530</v>
      </c>
    </row>
    <row r="876" spans="1:19" x14ac:dyDescent="0.35">
      <c r="A876" s="6">
        <v>17476318</v>
      </c>
      <c r="B876" s="5" t="s">
        <v>200</v>
      </c>
      <c r="C876" s="5" t="s">
        <v>163</v>
      </c>
      <c r="D876" s="5" t="s">
        <v>77</v>
      </c>
      <c r="E876" s="5" t="s">
        <v>133</v>
      </c>
      <c r="F876" s="5" t="s">
        <v>527</v>
      </c>
      <c r="G876" s="5"/>
      <c r="H876" s="5">
        <v>1198</v>
      </c>
      <c r="I876" s="5" t="s">
        <v>223</v>
      </c>
      <c r="J876" s="5" t="s">
        <v>526</v>
      </c>
      <c r="K876" s="5">
        <v>4.2</v>
      </c>
      <c r="L876" s="5">
        <v>845</v>
      </c>
      <c r="M876" s="5">
        <v>0.6</v>
      </c>
      <c r="N876" s="5">
        <v>1790.0851063829789</v>
      </c>
      <c r="O876" s="5"/>
      <c r="P876" s="5" t="s">
        <v>526</v>
      </c>
      <c r="Q876" s="5" t="s">
        <v>55</v>
      </c>
      <c r="R876" s="5" t="s">
        <v>129</v>
      </c>
      <c r="S876" s="7" t="s">
        <v>528</v>
      </c>
    </row>
    <row r="877" spans="1:19" x14ac:dyDescent="0.35">
      <c r="A877" s="6">
        <v>17383590</v>
      </c>
      <c r="B877" s="5" t="s">
        <v>250</v>
      </c>
      <c r="C877" s="5" t="s">
        <v>163</v>
      </c>
      <c r="D877" s="5" t="s">
        <v>77</v>
      </c>
      <c r="E877" s="5" t="s">
        <v>133</v>
      </c>
      <c r="F877" s="5" t="s">
        <v>524</v>
      </c>
      <c r="G877" s="5"/>
      <c r="H877" s="5">
        <v>1598</v>
      </c>
      <c r="I877" s="5" t="s">
        <v>209</v>
      </c>
      <c r="J877" s="5" t="s">
        <v>323</v>
      </c>
      <c r="K877" s="5">
        <v>4.3</v>
      </c>
      <c r="L877" s="5">
        <v>845</v>
      </c>
      <c r="M877" s="5">
        <v>0.5</v>
      </c>
      <c r="N877" s="5">
        <v>1790.0851063829789</v>
      </c>
      <c r="O877" s="5"/>
      <c r="P877" s="5" t="s">
        <v>323</v>
      </c>
      <c r="Q877" s="5" t="s">
        <v>57</v>
      </c>
      <c r="R877" s="5" t="s">
        <v>129</v>
      </c>
      <c r="S877" s="7" t="s">
        <v>525</v>
      </c>
    </row>
    <row r="878" spans="1:19" x14ac:dyDescent="0.35">
      <c r="A878" s="6">
        <v>6939244</v>
      </c>
      <c r="B878" s="5" t="s">
        <v>522</v>
      </c>
      <c r="C878" s="5" t="s">
        <v>163</v>
      </c>
      <c r="D878" s="5" t="s">
        <v>141</v>
      </c>
      <c r="E878" s="5" t="s">
        <v>133</v>
      </c>
      <c r="F878" s="5" t="s">
        <v>521</v>
      </c>
      <c r="G878" s="5"/>
      <c r="H878" s="5">
        <v>1999</v>
      </c>
      <c r="I878" s="5" t="s">
        <v>197</v>
      </c>
      <c r="J878" s="5" t="s">
        <v>150</v>
      </c>
      <c r="K878" s="5">
        <v>4.4000000000000004</v>
      </c>
      <c r="L878" s="5">
        <v>845</v>
      </c>
      <c r="M878" s="5">
        <v>0.65</v>
      </c>
      <c r="N878" s="5">
        <v>1790.0851063829789</v>
      </c>
      <c r="O878" s="5"/>
      <c r="P878" s="5" t="s">
        <v>150</v>
      </c>
      <c r="Q878" s="5" t="s">
        <v>55</v>
      </c>
      <c r="R878" s="5" t="s">
        <v>129</v>
      </c>
      <c r="S878" s="7" t="s">
        <v>523</v>
      </c>
    </row>
    <row r="879" spans="1:19" x14ac:dyDescent="0.35">
      <c r="A879" s="6">
        <v>12047292</v>
      </c>
      <c r="B879" s="5" t="s">
        <v>203</v>
      </c>
      <c r="C879" s="5" t="s">
        <v>135</v>
      </c>
      <c r="D879" s="5" t="s">
        <v>174</v>
      </c>
      <c r="E879" s="5" t="s">
        <v>133</v>
      </c>
      <c r="F879" s="5" t="s">
        <v>519</v>
      </c>
      <c r="G879" s="5">
        <v>1539</v>
      </c>
      <c r="H879" s="5">
        <v>6999</v>
      </c>
      <c r="I879" s="5" t="s">
        <v>166</v>
      </c>
      <c r="J879" s="5" t="s">
        <v>171</v>
      </c>
      <c r="K879" s="5">
        <v>4.2</v>
      </c>
      <c r="L879" s="5">
        <v>844</v>
      </c>
      <c r="M879" s="5">
        <v>0.78</v>
      </c>
      <c r="N879" s="5">
        <v>1493.337491012077</v>
      </c>
      <c r="O879" s="5">
        <v>1539</v>
      </c>
      <c r="P879" s="5" t="s">
        <v>171</v>
      </c>
      <c r="Q879" s="5" t="s">
        <v>55</v>
      </c>
      <c r="R879" s="5" t="s">
        <v>129</v>
      </c>
      <c r="S879" s="7" t="s">
        <v>520</v>
      </c>
    </row>
    <row r="880" spans="1:19" x14ac:dyDescent="0.35">
      <c r="A880" s="6">
        <v>11244106</v>
      </c>
      <c r="B880" s="5" t="s">
        <v>517</v>
      </c>
      <c r="C880" s="5" t="s">
        <v>135</v>
      </c>
      <c r="D880" s="5" t="s">
        <v>403</v>
      </c>
      <c r="E880" s="5" t="s">
        <v>133</v>
      </c>
      <c r="F880" s="5" t="s">
        <v>516</v>
      </c>
      <c r="G880" s="5"/>
      <c r="H880" s="5">
        <v>549</v>
      </c>
      <c r="I880" s="5"/>
      <c r="J880" s="5" t="s">
        <v>352</v>
      </c>
      <c r="K880" s="5">
        <v>4.5</v>
      </c>
      <c r="L880" s="5">
        <v>844</v>
      </c>
      <c r="M880" s="5"/>
      <c r="N880" s="5">
        <v>1493.337491012077</v>
      </c>
      <c r="O880" s="5">
        <v>1493.337491012077</v>
      </c>
      <c r="P880" s="5" t="s">
        <v>352</v>
      </c>
      <c r="Q880" s="5" t="s">
        <v>57</v>
      </c>
      <c r="R880" s="5" t="s">
        <v>129</v>
      </c>
      <c r="S880" s="7" t="s">
        <v>518</v>
      </c>
    </row>
    <row r="881" spans="1:19" x14ac:dyDescent="0.35">
      <c r="A881" s="6">
        <v>1839663</v>
      </c>
      <c r="B881" s="5" t="s">
        <v>514</v>
      </c>
      <c r="C881" s="5" t="s">
        <v>273</v>
      </c>
      <c r="D881" s="5" t="s">
        <v>272</v>
      </c>
      <c r="E881" s="5" t="s">
        <v>133</v>
      </c>
      <c r="F881" s="5" t="s">
        <v>513</v>
      </c>
      <c r="G881" s="5"/>
      <c r="H881" s="5">
        <v>895</v>
      </c>
      <c r="I881" s="5"/>
      <c r="J881" s="5" t="s">
        <v>512</v>
      </c>
      <c r="K881" s="5">
        <v>4.2</v>
      </c>
      <c r="L881" s="5">
        <v>844</v>
      </c>
      <c r="M881" s="5"/>
      <c r="N881" s="5">
        <v>811.90284167198604</v>
      </c>
      <c r="O881" s="5">
        <v>811.90284167198604</v>
      </c>
      <c r="P881" s="5" t="s">
        <v>512</v>
      </c>
      <c r="Q881" s="5" t="s">
        <v>57</v>
      </c>
      <c r="R881" s="5" t="s">
        <v>129</v>
      </c>
      <c r="S881" s="7" t="s">
        <v>515</v>
      </c>
    </row>
    <row r="882" spans="1:19" x14ac:dyDescent="0.35">
      <c r="A882" s="6">
        <v>13238794</v>
      </c>
      <c r="B882" s="5" t="s">
        <v>460</v>
      </c>
      <c r="C882" s="5" t="s">
        <v>163</v>
      </c>
      <c r="D882" s="5" t="s">
        <v>194</v>
      </c>
      <c r="E882" s="5" t="s">
        <v>133</v>
      </c>
      <c r="F882" s="5" t="s">
        <v>510</v>
      </c>
      <c r="G882" s="5"/>
      <c r="H882" s="5">
        <v>1799</v>
      </c>
      <c r="I882" s="5" t="s">
        <v>509</v>
      </c>
      <c r="J882" s="5" t="s">
        <v>196</v>
      </c>
      <c r="K882" s="5">
        <v>3.9</v>
      </c>
      <c r="L882" s="5">
        <v>844</v>
      </c>
      <c r="M882" s="5">
        <v>0.45</v>
      </c>
      <c r="N882" s="5">
        <v>1790.0851063829789</v>
      </c>
      <c r="O882" s="5"/>
      <c r="P882" s="5" t="s">
        <v>196</v>
      </c>
      <c r="Q882" s="5" t="s">
        <v>57</v>
      </c>
      <c r="R882" s="5" t="s">
        <v>129</v>
      </c>
      <c r="S882" s="7" t="s">
        <v>511</v>
      </c>
    </row>
    <row r="883" spans="1:19" x14ac:dyDescent="0.35">
      <c r="A883" s="6">
        <v>7744508</v>
      </c>
      <c r="B883" s="5" t="s">
        <v>507</v>
      </c>
      <c r="C883" s="5" t="s">
        <v>163</v>
      </c>
      <c r="D883" s="5" t="s">
        <v>162</v>
      </c>
      <c r="E883" s="5" t="s">
        <v>133</v>
      </c>
      <c r="F883" s="5" t="s">
        <v>506</v>
      </c>
      <c r="G883" s="5"/>
      <c r="H883" s="5">
        <v>1899</v>
      </c>
      <c r="I883" s="5" t="s">
        <v>209</v>
      </c>
      <c r="J883" s="5" t="s">
        <v>505</v>
      </c>
      <c r="K883" s="5">
        <v>4.3</v>
      </c>
      <c r="L883" s="5">
        <v>844</v>
      </c>
      <c r="M883" s="5">
        <v>0.5</v>
      </c>
      <c r="N883" s="5">
        <v>1790.0851063829789</v>
      </c>
      <c r="O883" s="5"/>
      <c r="P883" s="5" t="s">
        <v>505</v>
      </c>
      <c r="Q883" s="5" t="s">
        <v>57</v>
      </c>
      <c r="R883" s="5" t="s">
        <v>129</v>
      </c>
      <c r="S883" s="7" t="s">
        <v>508</v>
      </c>
    </row>
    <row r="884" spans="1:19" x14ac:dyDescent="0.35">
      <c r="A884" s="6">
        <v>10187447</v>
      </c>
      <c r="B884" s="5" t="s">
        <v>183</v>
      </c>
      <c r="C884" s="5" t="s">
        <v>189</v>
      </c>
      <c r="D884" s="5" t="s">
        <v>162</v>
      </c>
      <c r="E884" s="5" t="s">
        <v>140</v>
      </c>
      <c r="F884" s="5" t="s">
        <v>503</v>
      </c>
      <c r="G884" s="5">
        <v>1374</v>
      </c>
      <c r="H884" s="5">
        <v>2499</v>
      </c>
      <c r="I884" s="5" t="s">
        <v>36</v>
      </c>
      <c r="J884" s="5" t="s">
        <v>502</v>
      </c>
      <c r="K884" s="5">
        <v>4.0999999999999996</v>
      </c>
      <c r="L884" s="5">
        <v>843</v>
      </c>
      <c r="M884" s="5">
        <v>0.45</v>
      </c>
      <c r="N884" s="5">
        <v>1351.2078667815099</v>
      </c>
      <c r="O884" s="5">
        <v>1374</v>
      </c>
      <c r="P884" s="5" t="s">
        <v>502</v>
      </c>
      <c r="Q884" s="5" t="s">
        <v>57</v>
      </c>
      <c r="R884" s="5" t="s">
        <v>129</v>
      </c>
      <c r="S884" s="7" t="s">
        <v>504</v>
      </c>
    </row>
    <row r="885" spans="1:19" x14ac:dyDescent="0.35">
      <c r="A885" s="6">
        <v>10353589</v>
      </c>
      <c r="B885" s="5" t="s">
        <v>355</v>
      </c>
      <c r="C885" s="5" t="s">
        <v>156</v>
      </c>
      <c r="D885" s="5" t="s">
        <v>500</v>
      </c>
      <c r="E885" s="5" t="s">
        <v>140</v>
      </c>
      <c r="F885" s="5" t="s">
        <v>499</v>
      </c>
      <c r="G885" s="5"/>
      <c r="H885" s="5">
        <v>399</v>
      </c>
      <c r="I885" s="5"/>
      <c r="J885" s="5" t="s">
        <v>352</v>
      </c>
      <c r="K885" s="5">
        <v>4.0999999999999996</v>
      </c>
      <c r="L885" s="5">
        <v>843</v>
      </c>
      <c r="M885" s="5"/>
      <c r="N885" s="5">
        <v>691.83976143141149</v>
      </c>
      <c r="O885" s="5">
        <v>691.83976143141149</v>
      </c>
      <c r="P885" s="5" t="s">
        <v>352</v>
      </c>
      <c r="Q885" s="5" t="s">
        <v>57</v>
      </c>
      <c r="R885" s="5" t="s">
        <v>129</v>
      </c>
      <c r="S885" s="7" t="s">
        <v>501</v>
      </c>
    </row>
    <row r="886" spans="1:19" x14ac:dyDescent="0.35">
      <c r="A886" s="6">
        <v>10890962</v>
      </c>
      <c r="B886" s="5" t="s">
        <v>216</v>
      </c>
      <c r="C886" s="5" t="s">
        <v>75</v>
      </c>
      <c r="D886" s="5" t="s">
        <v>77</v>
      </c>
      <c r="E886" s="5" t="s">
        <v>140</v>
      </c>
      <c r="F886" s="5" t="s">
        <v>497</v>
      </c>
      <c r="G886" s="5">
        <v>515</v>
      </c>
      <c r="H886" s="5">
        <v>1199</v>
      </c>
      <c r="I886" s="5" t="s">
        <v>213</v>
      </c>
      <c r="J886" s="5" t="s">
        <v>212</v>
      </c>
      <c r="K886" s="5">
        <v>4.3</v>
      </c>
      <c r="L886" s="5">
        <v>843</v>
      </c>
      <c r="M886" s="5">
        <v>0.56999999999999995</v>
      </c>
      <c r="N886" s="5">
        <v>1097.3783736315199</v>
      </c>
      <c r="O886" s="5">
        <v>515</v>
      </c>
      <c r="P886" s="5" t="s">
        <v>212</v>
      </c>
      <c r="Q886" s="5" t="s">
        <v>55</v>
      </c>
      <c r="R886" s="5" t="s">
        <v>129</v>
      </c>
      <c r="S886" s="7" t="s">
        <v>498</v>
      </c>
    </row>
    <row r="887" spans="1:19" x14ac:dyDescent="0.35">
      <c r="A887" s="6">
        <v>2056708</v>
      </c>
      <c r="B887" s="5" t="s">
        <v>143</v>
      </c>
      <c r="C887" s="5" t="s">
        <v>235</v>
      </c>
      <c r="D887" s="5" t="s">
        <v>228</v>
      </c>
      <c r="E887" s="5" t="s">
        <v>133</v>
      </c>
      <c r="F887" s="5" t="s">
        <v>495</v>
      </c>
      <c r="G887" s="5">
        <v>749</v>
      </c>
      <c r="H887" s="5">
        <v>1499</v>
      </c>
      <c r="I887" s="5" t="s">
        <v>209</v>
      </c>
      <c r="J887" s="5" t="s">
        <v>196</v>
      </c>
      <c r="K887" s="5">
        <v>3.7</v>
      </c>
      <c r="L887" s="5">
        <v>843</v>
      </c>
      <c r="M887" s="5">
        <v>0.5</v>
      </c>
      <c r="N887" s="5">
        <v>923.69459774582197</v>
      </c>
      <c r="O887" s="5">
        <v>749</v>
      </c>
      <c r="P887" s="5" t="s">
        <v>196</v>
      </c>
      <c r="Q887" s="5" t="s">
        <v>57</v>
      </c>
      <c r="R887" s="5" t="s">
        <v>129</v>
      </c>
      <c r="S887" s="7" t="s">
        <v>496</v>
      </c>
    </row>
    <row r="888" spans="1:19" x14ac:dyDescent="0.35">
      <c r="A888" s="6">
        <v>10300853</v>
      </c>
      <c r="B888" s="5" t="s">
        <v>143</v>
      </c>
      <c r="C888" s="5" t="s">
        <v>235</v>
      </c>
      <c r="D888" s="5" t="s">
        <v>493</v>
      </c>
      <c r="E888" s="5" t="s">
        <v>133</v>
      </c>
      <c r="F888" s="5" t="s">
        <v>492</v>
      </c>
      <c r="G888" s="5">
        <v>959</v>
      </c>
      <c r="H888" s="5">
        <v>3199</v>
      </c>
      <c r="I888" s="5" t="s">
        <v>233</v>
      </c>
      <c r="J888" s="5" t="s">
        <v>196</v>
      </c>
      <c r="K888" s="5">
        <v>4.4000000000000004</v>
      </c>
      <c r="L888" s="5">
        <v>843</v>
      </c>
      <c r="M888" s="5">
        <v>0.7</v>
      </c>
      <c r="N888" s="5">
        <v>923.69459774582197</v>
      </c>
      <c r="O888" s="5">
        <v>959</v>
      </c>
      <c r="P888" s="5" t="s">
        <v>196</v>
      </c>
      <c r="Q888" s="5" t="s">
        <v>55</v>
      </c>
      <c r="R888" s="5" t="s">
        <v>129</v>
      </c>
      <c r="S888" s="7" t="s">
        <v>494</v>
      </c>
    </row>
    <row r="889" spans="1:19" x14ac:dyDescent="0.35">
      <c r="A889" s="6">
        <v>8972461</v>
      </c>
      <c r="B889" s="5" t="s">
        <v>490</v>
      </c>
      <c r="C889" s="5" t="s">
        <v>163</v>
      </c>
      <c r="D889" s="5" t="s">
        <v>77</v>
      </c>
      <c r="E889" s="5" t="s">
        <v>133</v>
      </c>
      <c r="F889" s="5" t="s">
        <v>489</v>
      </c>
      <c r="G889" s="5"/>
      <c r="H889" s="5">
        <v>799</v>
      </c>
      <c r="I889" s="5" t="s">
        <v>218</v>
      </c>
      <c r="J889" s="5" t="s">
        <v>192</v>
      </c>
      <c r="K889" s="5">
        <v>4.4000000000000004</v>
      </c>
      <c r="L889" s="5">
        <v>843</v>
      </c>
      <c r="M889" s="5">
        <v>0.3</v>
      </c>
      <c r="N889" s="5">
        <v>1790.0851063829789</v>
      </c>
      <c r="O889" s="5"/>
      <c r="P889" s="5" t="s">
        <v>192</v>
      </c>
      <c r="Q889" s="5" t="s">
        <v>57</v>
      </c>
      <c r="R889" s="5" t="s">
        <v>129</v>
      </c>
      <c r="S889" s="7" t="s">
        <v>491</v>
      </c>
    </row>
    <row r="890" spans="1:19" x14ac:dyDescent="0.35">
      <c r="A890" s="6">
        <v>8315901</v>
      </c>
      <c r="B890" s="5" t="s">
        <v>225</v>
      </c>
      <c r="C890" s="5" t="s">
        <v>163</v>
      </c>
      <c r="D890" s="5" t="s">
        <v>77</v>
      </c>
      <c r="E890" s="5" t="s">
        <v>133</v>
      </c>
      <c r="F890" s="5" t="s">
        <v>487</v>
      </c>
      <c r="G890" s="5"/>
      <c r="H890" s="5">
        <v>899</v>
      </c>
      <c r="I890" s="5" t="s">
        <v>486</v>
      </c>
      <c r="J890" s="5" t="s">
        <v>192</v>
      </c>
      <c r="K890" s="5">
        <v>4.4000000000000004</v>
      </c>
      <c r="L890" s="5">
        <v>843</v>
      </c>
      <c r="M890" s="5">
        <v>4</v>
      </c>
      <c r="N890" s="5">
        <v>1790.0851063829789</v>
      </c>
      <c r="O890" s="5"/>
      <c r="P890" s="5" t="s">
        <v>192</v>
      </c>
      <c r="Q890" s="5" t="s">
        <v>55</v>
      </c>
      <c r="R890" s="5" t="s">
        <v>129</v>
      </c>
      <c r="S890" s="7" t="s">
        <v>488</v>
      </c>
    </row>
    <row r="891" spans="1:19" x14ac:dyDescent="0.35">
      <c r="A891" s="6">
        <v>2520585</v>
      </c>
      <c r="B891" s="5" t="s">
        <v>152</v>
      </c>
      <c r="C891" s="5" t="s">
        <v>75</v>
      </c>
      <c r="D891" s="5" t="s">
        <v>77</v>
      </c>
      <c r="E891" s="5" t="s">
        <v>140</v>
      </c>
      <c r="F891" s="5" t="s">
        <v>484</v>
      </c>
      <c r="G891" s="5">
        <v>899</v>
      </c>
      <c r="H891" s="5">
        <v>1499</v>
      </c>
      <c r="I891" s="5" t="s">
        <v>131</v>
      </c>
      <c r="J891" s="5" t="s">
        <v>150</v>
      </c>
      <c r="K891" s="5">
        <v>4.3</v>
      </c>
      <c r="L891" s="5">
        <v>842</v>
      </c>
      <c r="M891" s="5">
        <v>0.4</v>
      </c>
      <c r="N891" s="5">
        <v>1097.3783736315199</v>
      </c>
      <c r="O891" s="5">
        <v>899</v>
      </c>
      <c r="P891" s="5" t="s">
        <v>150</v>
      </c>
      <c r="Q891" s="5" t="s">
        <v>57</v>
      </c>
      <c r="R891" s="5" t="s">
        <v>129</v>
      </c>
      <c r="S891" s="7" t="s">
        <v>485</v>
      </c>
    </row>
    <row r="892" spans="1:19" x14ac:dyDescent="0.35">
      <c r="A892" s="6">
        <v>14311864</v>
      </c>
      <c r="B892" s="5" t="s">
        <v>482</v>
      </c>
      <c r="C892" s="5" t="s">
        <v>142</v>
      </c>
      <c r="D892" s="5" t="s">
        <v>77</v>
      </c>
      <c r="E892" s="5" t="s">
        <v>140</v>
      </c>
      <c r="F892" s="5" t="s">
        <v>481</v>
      </c>
      <c r="G892" s="5">
        <v>719</v>
      </c>
      <c r="H892" s="5">
        <v>1199</v>
      </c>
      <c r="I892" s="5" t="s">
        <v>131</v>
      </c>
      <c r="J892" s="5" t="s">
        <v>391</v>
      </c>
      <c r="K892" s="5">
        <v>4.2</v>
      </c>
      <c r="L892" s="5">
        <v>842</v>
      </c>
      <c r="M892" s="5">
        <v>0.4</v>
      </c>
      <c r="N892" s="5">
        <v>1138.6340612208289</v>
      </c>
      <c r="O892" s="5">
        <v>719</v>
      </c>
      <c r="P892" s="5" t="s">
        <v>391</v>
      </c>
      <c r="Q892" s="5" t="s">
        <v>57</v>
      </c>
      <c r="R892" s="5" t="s">
        <v>129</v>
      </c>
      <c r="S892" s="7" t="s">
        <v>483</v>
      </c>
    </row>
    <row r="893" spans="1:19" x14ac:dyDescent="0.35">
      <c r="A893" s="6">
        <v>9689953</v>
      </c>
      <c r="B893" s="5" t="s">
        <v>479</v>
      </c>
      <c r="C893" s="5" t="s">
        <v>135</v>
      </c>
      <c r="D893" s="5" t="s">
        <v>228</v>
      </c>
      <c r="E893" s="5" t="s">
        <v>133</v>
      </c>
      <c r="F893" s="5" t="s">
        <v>478</v>
      </c>
      <c r="G893" s="5">
        <v>1399</v>
      </c>
      <c r="H893" s="5">
        <v>3615</v>
      </c>
      <c r="I893" s="5" t="s">
        <v>477</v>
      </c>
      <c r="J893" s="5" t="s">
        <v>150</v>
      </c>
      <c r="K893" s="5">
        <v>4.3</v>
      </c>
      <c r="L893" s="5">
        <v>842</v>
      </c>
      <c r="M893" s="5">
        <v>22.16</v>
      </c>
      <c r="N893" s="5">
        <v>1493.337491012077</v>
      </c>
      <c r="O893" s="5">
        <v>1399</v>
      </c>
      <c r="P893" s="5" t="s">
        <v>150</v>
      </c>
      <c r="Q893" s="5" t="s">
        <v>55</v>
      </c>
      <c r="R893" s="5" t="s">
        <v>129</v>
      </c>
      <c r="S893" s="7" t="s">
        <v>480</v>
      </c>
    </row>
    <row r="894" spans="1:19" x14ac:dyDescent="0.35">
      <c r="A894" s="6">
        <v>1973570</v>
      </c>
      <c r="B894" s="5" t="s">
        <v>475</v>
      </c>
      <c r="C894" s="5" t="s">
        <v>163</v>
      </c>
      <c r="D894" s="5" t="s">
        <v>194</v>
      </c>
      <c r="E894" s="5" t="s">
        <v>133</v>
      </c>
      <c r="F894" s="5" t="s">
        <v>474</v>
      </c>
      <c r="G894" s="5"/>
      <c r="H894" s="5">
        <v>1470</v>
      </c>
      <c r="I894" s="5" t="s">
        <v>223</v>
      </c>
      <c r="J894" s="5" t="s">
        <v>422</v>
      </c>
      <c r="K894" s="5">
        <v>4.3</v>
      </c>
      <c r="L894" s="5">
        <v>842</v>
      </c>
      <c r="M894" s="5">
        <v>0.6</v>
      </c>
      <c r="N894" s="5">
        <v>1790.0851063829789</v>
      </c>
      <c r="O894" s="5"/>
      <c r="P894" s="5" t="s">
        <v>422</v>
      </c>
      <c r="Q894" s="5" t="s">
        <v>55</v>
      </c>
      <c r="R894" s="5" t="s">
        <v>129</v>
      </c>
      <c r="S894" s="7" t="s">
        <v>476</v>
      </c>
    </row>
    <row r="895" spans="1:19" x14ac:dyDescent="0.35">
      <c r="A895" s="6">
        <v>9070049</v>
      </c>
      <c r="B895" s="5" t="s">
        <v>472</v>
      </c>
      <c r="C895" s="5" t="s">
        <v>163</v>
      </c>
      <c r="D895" s="5" t="s">
        <v>228</v>
      </c>
      <c r="E895" s="5" t="s">
        <v>133</v>
      </c>
      <c r="F895" s="5" t="s">
        <v>471</v>
      </c>
      <c r="G895" s="5"/>
      <c r="H895" s="5">
        <v>1699</v>
      </c>
      <c r="I895" s="5" t="s">
        <v>213</v>
      </c>
      <c r="J895" s="5" t="s">
        <v>196</v>
      </c>
      <c r="K895" s="5">
        <v>4.3</v>
      </c>
      <c r="L895" s="5">
        <v>842</v>
      </c>
      <c r="M895" s="5">
        <v>0.56999999999999995</v>
      </c>
      <c r="N895" s="5">
        <v>1790.0851063829789</v>
      </c>
      <c r="O895" s="5"/>
      <c r="P895" s="5" t="s">
        <v>196</v>
      </c>
      <c r="Q895" s="5" t="s">
        <v>55</v>
      </c>
      <c r="R895" s="5" t="s">
        <v>129</v>
      </c>
      <c r="S895" s="7" t="s">
        <v>473</v>
      </c>
    </row>
    <row r="896" spans="1:19" x14ac:dyDescent="0.35">
      <c r="A896" s="6">
        <v>2291339</v>
      </c>
      <c r="B896" s="5" t="s">
        <v>250</v>
      </c>
      <c r="C896" s="5" t="s">
        <v>189</v>
      </c>
      <c r="D896" s="5" t="s">
        <v>188</v>
      </c>
      <c r="E896" s="5" t="s">
        <v>140</v>
      </c>
      <c r="F896" s="5" t="s">
        <v>469</v>
      </c>
      <c r="G896" s="5">
        <v>989</v>
      </c>
      <c r="H896" s="5">
        <v>2199</v>
      </c>
      <c r="I896" s="5" t="s">
        <v>178</v>
      </c>
      <c r="J896" s="5" t="s">
        <v>408</v>
      </c>
      <c r="K896" s="5">
        <v>3.5</v>
      </c>
      <c r="L896" s="5">
        <v>841</v>
      </c>
      <c r="M896" s="5">
        <v>0.55000000000000004</v>
      </c>
      <c r="N896" s="5">
        <v>1351.2078667815099</v>
      </c>
      <c r="O896" s="5">
        <v>989</v>
      </c>
      <c r="P896" s="5" t="s">
        <v>408</v>
      </c>
      <c r="Q896" s="5" t="s">
        <v>55</v>
      </c>
      <c r="R896" s="5" t="s">
        <v>129</v>
      </c>
      <c r="S896" s="7" t="s">
        <v>470</v>
      </c>
    </row>
    <row r="897" spans="1:19" x14ac:dyDescent="0.35">
      <c r="A897" s="6">
        <v>1376232</v>
      </c>
      <c r="B897" s="5" t="s">
        <v>250</v>
      </c>
      <c r="C897" s="5" t="s">
        <v>142</v>
      </c>
      <c r="D897" s="5" t="s">
        <v>141</v>
      </c>
      <c r="E897" s="5" t="s">
        <v>140</v>
      </c>
      <c r="F897" s="5" t="s">
        <v>467</v>
      </c>
      <c r="G897" s="5">
        <v>719</v>
      </c>
      <c r="H897" s="5">
        <v>1599</v>
      </c>
      <c r="I897" s="5" t="s">
        <v>178</v>
      </c>
      <c r="J897" s="5" t="s">
        <v>348</v>
      </c>
      <c r="K897" s="5">
        <v>4.2</v>
      </c>
      <c r="L897" s="5">
        <v>841</v>
      </c>
      <c r="M897" s="5">
        <v>0.55000000000000004</v>
      </c>
      <c r="N897" s="5">
        <v>1138.6340612208289</v>
      </c>
      <c r="O897" s="5">
        <v>719</v>
      </c>
      <c r="P897" s="5" t="s">
        <v>348</v>
      </c>
      <c r="Q897" s="5" t="s">
        <v>55</v>
      </c>
      <c r="R897" s="5" t="s">
        <v>129</v>
      </c>
      <c r="S897" s="7" t="s">
        <v>468</v>
      </c>
    </row>
    <row r="898" spans="1:19" x14ac:dyDescent="0.35">
      <c r="A898" s="6">
        <v>11194956</v>
      </c>
      <c r="B898" s="5" t="s">
        <v>225</v>
      </c>
      <c r="C898" s="5" t="s">
        <v>142</v>
      </c>
      <c r="D898" s="5" t="s">
        <v>141</v>
      </c>
      <c r="E898" s="5" t="s">
        <v>140</v>
      </c>
      <c r="F898" s="5" t="s">
        <v>465</v>
      </c>
      <c r="G898" s="5">
        <v>1099</v>
      </c>
      <c r="H898" s="5">
        <v>1999</v>
      </c>
      <c r="I898" s="5" t="s">
        <v>36</v>
      </c>
      <c r="J898" s="5" t="s">
        <v>348</v>
      </c>
      <c r="K898" s="5">
        <v>4.3</v>
      </c>
      <c r="L898" s="5">
        <v>841</v>
      </c>
      <c r="M898" s="5">
        <v>0.45</v>
      </c>
      <c r="N898" s="5">
        <v>1138.6340612208289</v>
      </c>
      <c r="O898" s="5">
        <v>1099</v>
      </c>
      <c r="P898" s="5" t="s">
        <v>348</v>
      </c>
      <c r="Q898" s="5" t="s">
        <v>57</v>
      </c>
      <c r="R898" s="5" t="s">
        <v>129</v>
      </c>
      <c r="S898" s="7" t="s">
        <v>466</v>
      </c>
    </row>
    <row r="899" spans="1:19" x14ac:dyDescent="0.35">
      <c r="A899" s="6">
        <v>9720893</v>
      </c>
      <c r="B899" s="5" t="s">
        <v>463</v>
      </c>
      <c r="C899" s="5" t="s">
        <v>135</v>
      </c>
      <c r="D899" s="5" t="s">
        <v>174</v>
      </c>
      <c r="E899" s="5" t="s">
        <v>133</v>
      </c>
      <c r="F899" s="5" t="s">
        <v>462</v>
      </c>
      <c r="G899" s="5">
        <v>649</v>
      </c>
      <c r="H899" s="5">
        <v>1299</v>
      </c>
      <c r="I899" s="5" t="s">
        <v>209</v>
      </c>
      <c r="J899" s="5" t="s">
        <v>171</v>
      </c>
      <c r="K899" s="5">
        <v>3.5</v>
      </c>
      <c r="L899" s="5">
        <v>841</v>
      </c>
      <c r="M899" s="5">
        <v>0.5</v>
      </c>
      <c r="N899" s="5">
        <v>1493.337491012077</v>
      </c>
      <c r="O899" s="5">
        <v>649</v>
      </c>
      <c r="P899" s="5" t="s">
        <v>171</v>
      </c>
      <c r="Q899" s="5" t="s">
        <v>57</v>
      </c>
      <c r="R899" s="5" t="s">
        <v>129</v>
      </c>
      <c r="S899" s="7" t="s">
        <v>464</v>
      </c>
    </row>
    <row r="900" spans="1:19" x14ac:dyDescent="0.35">
      <c r="A900" s="6">
        <v>13789746</v>
      </c>
      <c r="B900" s="5" t="s">
        <v>460</v>
      </c>
      <c r="C900" s="5" t="s">
        <v>135</v>
      </c>
      <c r="D900" s="5" t="s">
        <v>168</v>
      </c>
      <c r="E900" s="5" t="s">
        <v>133</v>
      </c>
      <c r="F900" s="5" t="s">
        <v>459</v>
      </c>
      <c r="G900" s="5">
        <v>679</v>
      </c>
      <c r="H900" s="5">
        <v>1699</v>
      </c>
      <c r="I900" s="5" t="s">
        <v>223</v>
      </c>
      <c r="J900" s="5" t="s">
        <v>458</v>
      </c>
      <c r="K900" s="5">
        <v>4.0999999999999996</v>
      </c>
      <c r="L900" s="5">
        <v>841</v>
      </c>
      <c r="M900" s="5">
        <v>0.6</v>
      </c>
      <c r="N900" s="5">
        <v>1493.337491012077</v>
      </c>
      <c r="O900" s="5">
        <v>679</v>
      </c>
      <c r="P900" s="5" t="s">
        <v>458</v>
      </c>
      <c r="Q900" s="5" t="s">
        <v>55</v>
      </c>
      <c r="R900" s="5" t="s">
        <v>129</v>
      </c>
      <c r="S900" s="7" t="s">
        <v>461</v>
      </c>
    </row>
    <row r="901" spans="1:19" x14ac:dyDescent="0.35">
      <c r="A901" s="6">
        <v>11083546</v>
      </c>
      <c r="B901" s="5" t="s">
        <v>175</v>
      </c>
      <c r="C901" s="5" t="s">
        <v>135</v>
      </c>
      <c r="D901" s="5" t="s">
        <v>174</v>
      </c>
      <c r="E901" s="5" t="s">
        <v>133</v>
      </c>
      <c r="F901" s="5" t="s">
        <v>456</v>
      </c>
      <c r="G901" s="5">
        <v>781</v>
      </c>
      <c r="H901" s="5">
        <v>2299</v>
      </c>
      <c r="I901" s="5" t="s">
        <v>401</v>
      </c>
      <c r="J901" s="5" t="s">
        <v>171</v>
      </c>
      <c r="K901" s="5">
        <v>4.4000000000000004</v>
      </c>
      <c r="L901" s="5">
        <v>841</v>
      </c>
      <c r="M901" s="5">
        <v>0.66</v>
      </c>
      <c r="N901" s="5">
        <v>1493.337491012077</v>
      </c>
      <c r="O901" s="5">
        <v>781</v>
      </c>
      <c r="P901" s="5" t="s">
        <v>171</v>
      </c>
      <c r="Q901" s="5" t="s">
        <v>55</v>
      </c>
      <c r="R901" s="5" t="s">
        <v>129</v>
      </c>
      <c r="S901" s="7" t="s">
        <v>457</v>
      </c>
    </row>
    <row r="902" spans="1:19" x14ac:dyDescent="0.35">
      <c r="A902" s="6">
        <v>12374414</v>
      </c>
      <c r="B902" s="5" t="s">
        <v>350</v>
      </c>
      <c r="C902" s="5" t="s">
        <v>163</v>
      </c>
      <c r="D902" s="5" t="s">
        <v>199</v>
      </c>
      <c r="E902" s="5" t="s">
        <v>133</v>
      </c>
      <c r="F902" s="5" t="s">
        <v>454</v>
      </c>
      <c r="G902" s="5"/>
      <c r="H902" s="5">
        <v>1299</v>
      </c>
      <c r="I902" s="5" t="s">
        <v>178</v>
      </c>
      <c r="J902" s="5" t="s">
        <v>212</v>
      </c>
      <c r="K902" s="5">
        <v>4.0999999999999996</v>
      </c>
      <c r="L902" s="5">
        <v>841</v>
      </c>
      <c r="M902" s="5">
        <v>0.55000000000000004</v>
      </c>
      <c r="N902" s="5">
        <v>1790.0851063829789</v>
      </c>
      <c r="O902" s="5"/>
      <c r="P902" s="5" t="s">
        <v>212</v>
      </c>
      <c r="Q902" s="5" t="s">
        <v>55</v>
      </c>
      <c r="R902" s="5" t="s">
        <v>129</v>
      </c>
      <c r="S902" s="7" t="s">
        <v>455</v>
      </c>
    </row>
    <row r="903" spans="1:19" x14ac:dyDescent="0.35">
      <c r="A903" s="6">
        <v>17383580</v>
      </c>
      <c r="B903" s="5" t="s">
        <v>250</v>
      </c>
      <c r="C903" s="5" t="s">
        <v>163</v>
      </c>
      <c r="D903" s="5" t="s">
        <v>77</v>
      </c>
      <c r="E903" s="5" t="s">
        <v>133</v>
      </c>
      <c r="F903" s="5" t="s">
        <v>452</v>
      </c>
      <c r="G903" s="5"/>
      <c r="H903" s="5">
        <v>1598</v>
      </c>
      <c r="I903" s="5" t="s">
        <v>209</v>
      </c>
      <c r="J903" s="5" t="s">
        <v>255</v>
      </c>
      <c r="K903" s="5">
        <v>4.3</v>
      </c>
      <c r="L903" s="5">
        <v>841</v>
      </c>
      <c r="M903" s="5">
        <v>0.5</v>
      </c>
      <c r="N903" s="5">
        <v>1790.0851063829789</v>
      </c>
      <c r="O903" s="5"/>
      <c r="P903" s="5" t="s">
        <v>255</v>
      </c>
      <c r="Q903" s="5" t="s">
        <v>57</v>
      </c>
      <c r="R903" s="5" t="s">
        <v>129</v>
      </c>
      <c r="S903" s="7" t="s">
        <v>453</v>
      </c>
    </row>
    <row r="904" spans="1:19" x14ac:dyDescent="0.35">
      <c r="A904" s="6">
        <v>9339527</v>
      </c>
      <c r="B904" s="5" t="s">
        <v>450</v>
      </c>
      <c r="C904" s="5" t="s">
        <v>163</v>
      </c>
      <c r="D904" s="5" t="s">
        <v>194</v>
      </c>
      <c r="E904" s="5" t="s">
        <v>133</v>
      </c>
      <c r="F904" s="5" t="s">
        <v>449</v>
      </c>
      <c r="G904" s="5"/>
      <c r="H904" s="5">
        <v>1998</v>
      </c>
      <c r="I904" s="5" t="s">
        <v>209</v>
      </c>
      <c r="J904" s="5" t="s">
        <v>212</v>
      </c>
      <c r="K904" s="5">
        <v>4.2</v>
      </c>
      <c r="L904" s="5">
        <v>841</v>
      </c>
      <c r="M904" s="5">
        <v>0.5</v>
      </c>
      <c r="N904" s="5">
        <v>1790.0851063829789</v>
      </c>
      <c r="O904" s="5"/>
      <c r="P904" s="5" t="s">
        <v>212</v>
      </c>
      <c r="Q904" s="5" t="s">
        <v>57</v>
      </c>
      <c r="R904" s="5" t="s">
        <v>129</v>
      </c>
      <c r="S904" s="7" t="s">
        <v>451</v>
      </c>
    </row>
    <row r="905" spans="1:19" x14ac:dyDescent="0.35">
      <c r="A905" s="6">
        <v>11002194</v>
      </c>
      <c r="B905" s="5" t="s">
        <v>200</v>
      </c>
      <c r="C905" s="5" t="s">
        <v>163</v>
      </c>
      <c r="D905" s="5" t="s">
        <v>194</v>
      </c>
      <c r="E905" s="5" t="s">
        <v>133</v>
      </c>
      <c r="F905" s="5" t="s">
        <v>447</v>
      </c>
      <c r="G905" s="5"/>
      <c r="H905" s="5">
        <v>899</v>
      </c>
      <c r="I905" s="5" t="s">
        <v>283</v>
      </c>
      <c r="J905" s="5" t="s">
        <v>192</v>
      </c>
      <c r="K905" s="5">
        <v>4.2</v>
      </c>
      <c r="L905" s="5">
        <v>841</v>
      </c>
      <c r="M905" s="5">
        <v>0.7</v>
      </c>
      <c r="N905" s="5">
        <v>1790.0851063829789</v>
      </c>
      <c r="O905" s="5"/>
      <c r="P905" s="5" t="s">
        <v>192</v>
      </c>
      <c r="Q905" s="5" t="s">
        <v>55</v>
      </c>
      <c r="R905" s="5" t="s">
        <v>129</v>
      </c>
      <c r="S905" s="7" t="s">
        <v>448</v>
      </c>
    </row>
    <row r="906" spans="1:19" x14ac:dyDescent="0.35">
      <c r="A906" s="6">
        <v>14062988</v>
      </c>
      <c r="B906" s="5" t="s">
        <v>164</v>
      </c>
      <c r="C906" s="5" t="s">
        <v>163</v>
      </c>
      <c r="D906" s="5" t="s">
        <v>199</v>
      </c>
      <c r="E906" s="5" t="s">
        <v>133</v>
      </c>
      <c r="F906" s="5" t="s">
        <v>445</v>
      </c>
      <c r="G906" s="5"/>
      <c r="H906" s="5">
        <v>999</v>
      </c>
      <c r="I906" s="5" t="s">
        <v>381</v>
      </c>
      <c r="J906" s="5" t="s">
        <v>212</v>
      </c>
      <c r="K906" s="5">
        <v>4.2</v>
      </c>
      <c r="L906" s="5">
        <v>841</v>
      </c>
      <c r="M906" s="5">
        <v>0.53</v>
      </c>
      <c r="N906" s="5">
        <v>1790.0851063829789</v>
      </c>
      <c r="O906" s="5"/>
      <c r="P906" s="5" t="s">
        <v>212</v>
      </c>
      <c r="Q906" s="5" t="s">
        <v>55</v>
      </c>
      <c r="R906" s="5" t="s">
        <v>129</v>
      </c>
      <c r="S906" s="7" t="s">
        <v>446</v>
      </c>
    </row>
    <row r="907" spans="1:19" x14ac:dyDescent="0.35">
      <c r="A907" s="6">
        <v>11036298</v>
      </c>
      <c r="B907" s="5" t="s">
        <v>443</v>
      </c>
      <c r="C907" s="5" t="s">
        <v>156</v>
      </c>
      <c r="D907" s="5" t="s">
        <v>442</v>
      </c>
      <c r="E907" s="5" t="s">
        <v>140</v>
      </c>
      <c r="F907" s="5" t="s">
        <v>441</v>
      </c>
      <c r="G907" s="5"/>
      <c r="H907" s="5">
        <v>529</v>
      </c>
      <c r="I907" s="5"/>
      <c r="J907" s="5" t="s">
        <v>352</v>
      </c>
      <c r="K907" s="5">
        <v>4.7</v>
      </c>
      <c r="L907" s="5">
        <v>840</v>
      </c>
      <c r="M907" s="5"/>
      <c r="N907" s="5">
        <v>691.83976143141149</v>
      </c>
      <c r="O907" s="5">
        <v>691.83976143141149</v>
      </c>
      <c r="P907" s="5" t="s">
        <v>352</v>
      </c>
      <c r="Q907" s="5" t="s">
        <v>57</v>
      </c>
      <c r="R907" s="5" t="s">
        <v>129</v>
      </c>
      <c r="S907" s="7" t="s">
        <v>444</v>
      </c>
    </row>
    <row r="908" spans="1:19" x14ac:dyDescent="0.35">
      <c r="A908" s="6">
        <v>11361514</v>
      </c>
      <c r="B908" s="5" t="s">
        <v>183</v>
      </c>
      <c r="C908" s="5" t="s">
        <v>142</v>
      </c>
      <c r="D908" s="5" t="s">
        <v>141</v>
      </c>
      <c r="E908" s="5" t="s">
        <v>140</v>
      </c>
      <c r="F908" s="5" t="s">
        <v>439</v>
      </c>
      <c r="G908" s="5">
        <v>1319</v>
      </c>
      <c r="H908" s="5">
        <v>2399</v>
      </c>
      <c r="I908" s="5" t="s">
        <v>36</v>
      </c>
      <c r="J908" s="5" t="s">
        <v>208</v>
      </c>
      <c r="K908" s="5">
        <v>3.9</v>
      </c>
      <c r="L908" s="5">
        <v>840</v>
      </c>
      <c r="M908" s="5">
        <v>0.45</v>
      </c>
      <c r="N908" s="5">
        <v>1138.6340612208289</v>
      </c>
      <c r="O908" s="5">
        <v>1319</v>
      </c>
      <c r="P908" s="5" t="s">
        <v>208</v>
      </c>
      <c r="Q908" s="5" t="s">
        <v>57</v>
      </c>
      <c r="R908" s="5" t="s">
        <v>129</v>
      </c>
      <c r="S908" s="7" t="s">
        <v>440</v>
      </c>
    </row>
    <row r="909" spans="1:19" x14ac:dyDescent="0.35">
      <c r="A909" s="6">
        <v>11369814</v>
      </c>
      <c r="B909" s="5" t="s">
        <v>225</v>
      </c>
      <c r="C909" s="5" t="s">
        <v>142</v>
      </c>
      <c r="D909" s="5" t="s">
        <v>141</v>
      </c>
      <c r="E909" s="5" t="s">
        <v>140</v>
      </c>
      <c r="F909" s="5" t="s">
        <v>437</v>
      </c>
      <c r="G909" s="5">
        <v>1159</v>
      </c>
      <c r="H909" s="5">
        <v>2899</v>
      </c>
      <c r="I909" s="5" t="s">
        <v>223</v>
      </c>
      <c r="J909" s="5" t="s">
        <v>348</v>
      </c>
      <c r="K909" s="5">
        <v>4</v>
      </c>
      <c r="L909" s="5">
        <v>840</v>
      </c>
      <c r="M909" s="5">
        <v>0.6</v>
      </c>
      <c r="N909" s="5">
        <v>1138.6340612208289</v>
      </c>
      <c r="O909" s="5">
        <v>1159</v>
      </c>
      <c r="P909" s="5" t="s">
        <v>348</v>
      </c>
      <c r="Q909" s="5" t="s">
        <v>55</v>
      </c>
      <c r="R909" s="5" t="s">
        <v>129</v>
      </c>
      <c r="S909" s="7" t="s">
        <v>438</v>
      </c>
    </row>
    <row r="910" spans="1:19" x14ac:dyDescent="0.35">
      <c r="A910" s="6">
        <v>8938961</v>
      </c>
      <c r="B910" s="5" t="s">
        <v>250</v>
      </c>
      <c r="C910" s="5" t="s">
        <v>142</v>
      </c>
      <c r="D910" s="5" t="s">
        <v>77</v>
      </c>
      <c r="E910" s="5" t="s">
        <v>140</v>
      </c>
      <c r="F910" s="5" t="s">
        <v>435</v>
      </c>
      <c r="G910" s="5">
        <v>314</v>
      </c>
      <c r="H910" s="5">
        <v>699</v>
      </c>
      <c r="I910" s="5" t="s">
        <v>178</v>
      </c>
      <c r="J910" s="5" t="s">
        <v>212</v>
      </c>
      <c r="K910" s="5">
        <v>4.3</v>
      </c>
      <c r="L910" s="5">
        <v>840</v>
      </c>
      <c r="M910" s="5">
        <v>0.55000000000000004</v>
      </c>
      <c r="N910" s="5">
        <v>1138.6340612208289</v>
      </c>
      <c r="O910" s="5">
        <v>314</v>
      </c>
      <c r="P910" s="5" t="s">
        <v>212</v>
      </c>
      <c r="Q910" s="5" t="s">
        <v>55</v>
      </c>
      <c r="R910" s="5" t="s">
        <v>129</v>
      </c>
      <c r="S910" s="7" t="s">
        <v>436</v>
      </c>
    </row>
    <row r="911" spans="1:19" x14ac:dyDescent="0.35">
      <c r="A911" s="6">
        <v>6825457</v>
      </c>
      <c r="B911" s="5" t="s">
        <v>152</v>
      </c>
      <c r="C911" s="5" t="s">
        <v>142</v>
      </c>
      <c r="D911" s="5" t="s">
        <v>77</v>
      </c>
      <c r="E911" s="5" t="s">
        <v>140</v>
      </c>
      <c r="F911" s="5" t="s">
        <v>433</v>
      </c>
      <c r="G911" s="5">
        <v>449</v>
      </c>
      <c r="H911" s="5">
        <v>899</v>
      </c>
      <c r="I911" s="5" t="s">
        <v>209</v>
      </c>
      <c r="J911" s="5" t="s">
        <v>150</v>
      </c>
      <c r="K911" s="5">
        <v>3.8</v>
      </c>
      <c r="L911" s="5">
        <v>840</v>
      </c>
      <c r="M911" s="5">
        <v>0.5</v>
      </c>
      <c r="N911" s="5">
        <v>1138.6340612208289</v>
      </c>
      <c r="O911" s="5">
        <v>449</v>
      </c>
      <c r="P911" s="5" t="s">
        <v>150</v>
      </c>
      <c r="Q911" s="5" t="s">
        <v>57</v>
      </c>
      <c r="R911" s="5" t="s">
        <v>129</v>
      </c>
      <c r="S911" s="7" t="s">
        <v>434</v>
      </c>
    </row>
    <row r="912" spans="1:19" x14ac:dyDescent="0.35">
      <c r="A912" s="6">
        <v>12524820</v>
      </c>
      <c r="B912" s="5" t="s">
        <v>143</v>
      </c>
      <c r="C912" s="5" t="s">
        <v>135</v>
      </c>
      <c r="D912" s="5" t="s">
        <v>168</v>
      </c>
      <c r="E912" s="5" t="s">
        <v>133</v>
      </c>
      <c r="F912" s="5" t="s">
        <v>431</v>
      </c>
      <c r="G912" s="5">
        <v>879</v>
      </c>
      <c r="H912" s="5">
        <v>1599</v>
      </c>
      <c r="I912" s="5" t="s">
        <v>36</v>
      </c>
      <c r="J912" s="5" t="s">
        <v>177</v>
      </c>
      <c r="K912" s="5">
        <v>4.2</v>
      </c>
      <c r="L912" s="5">
        <v>840</v>
      </c>
      <c r="M912" s="5">
        <v>0.45</v>
      </c>
      <c r="N912" s="5">
        <v>1493.337491012077</v>
      </c>
      <c r="O912" s="5">
        <v>879</v>
      </c>
      <c r="P912" s="5" t="s">
        <v>177</v>
      </c>
      <c r="Q912" s="5" t="s">
        <v>57</v>
      </c>
      <c r="R912" s="5" t="s">
        <v>129</v>
      </c>
      <c r="S912" s="7" t="s">
        <v>432</v>
      </c>
    </row>
    <row r="913" spans="1:19" x14ac:dyDescent="0.35">
      <c r="A913" s="6">
        <v>11457308</v>
      </c>
      <c r="B913" s="5" t="s">
        <v>203</v>
      </c>
      <c r="C913" s="5" t="s">
        <v>135</v>
      </c>
      <c r="D913" s="5" t="s">
        <v>174</v>
      </c>
      <c r="E913" s="5" t="s">
        <v>133</v>
      </c>
      <c r="F913" s="5" t="s">
        <v>429</v>
      </c>
      <c r="G913" s="5">
        <v>899</v>
      </c>
      <c r="H913" s="5">
        <v>2498</v>
      </c>
      <c r="I913" s="5" t="s">
        <v>306</v>
      </c>
      <c r="J913" s="5" t="s">
        <v>171</v>
      </c>
      <c r="K913" s="5">
        <v>3.8</v>
      </c>
      <c r="L913" s="5">
        <v>840</v>
      </c>
      <c r="M913" s="5">
        <v>0.64</v>
      </c>
      <c r="N913" s="5">
        <v>1493.337491012077</v>
      </c>
      <c r="O913" s="5">
        <v>899</v>
      </c>
      <c r="P913" s="5" t="s">
        <v>171</v>
      </c>
      <c r="Q913" s="5" t="s">
        <v>55</v>
      </c>
      <c r="R913" s="5" t="s">
        <v>129</v>
      </c>
      <c r="S913" s="7" t="s">
        <v>430</v>
      </c>
    </row>
    <row r="914" spans="1:19" x14ac:dyDescent="0.35">
      <c r="A914" s="6">
        <v>14063010</v>
      </c>
      <c r="B914" s="5" t="s">
        <v>164</v>
      </c>
      <c r="C914" s="5" t="s">
        <v>75</v>
      </c>
      <c r="D914" s="5" t="s">
        <v>418</v>
      </c>
      <c r="E914" s="5" t="s">
        <v>133</v>
      </c>
      <c r="F914" s="5" t="s">
        <v>427</v>
      </c>
      <c r="G914" s="5">
        <v>293</v>
      </c>
      <c r="H914" s="5">
        <v>699</v>
      </c>
      <c r="I914" s="5" t="s">
        <v>319</v>
      </c>
      <c r="J914" s="5" t="s">
        <v>426</v>
      </c>
      <c r="K914" s="5">
        <v>4.5999999999999996</v>
      </c>
      <c r="L914" s="5">
        <v>840</v>
      </c>
      <c r="M914" s="5">
        <v>0.57999999999999996</v>
      </c>
      <c r="N914" s="5">
        <v>1097.3783736315199</v>
      </c>
      <c r="O914" s="5">
        <v>293</v>
      </c>
      <c r="P914" s="5" t="s">
        <v>426</v>
      </c>
      <c r="Q914" s="5" t="s">
        <v>55</v>
      </c>
      <c r="R914" s="5" t="s">
        <v>129</v>
      </c>
      <c r="S914" s="7" t="s">
        <v>428</v>
      </c>
    </row>
    <row r="915" spans="1:19" x14ac:dyDescent="0.35">
      <c r="A915" s="6">
        <v>13904908</v>
      </c>
      <c r="B915" s="5" t="s">
        <v>424</v>
      </c>
      <c r="C915" s="5" t="s">
        <v>163</v>
      </c>
      <c r="D915" s="5" t="s">
        <v>194</v>
      </c>
      <c r="E915" s="5" t="s">
        <v>133</v>
      </c>
      <c r="F915" s="5" t="s">
        <v>423</v>
      </c>
      <c r="G915" s="5"/>
      <c r="H915" s="5">
        <v>999</v>
      </c>
      <c r="I915" s="5" t="s">
        <v>209</v>
      </c>
      <c r="J915" s="5" t="s">
        <v>422</v>
      </c>
      <c r="K915" s="5">
        <v>4.3</v>
      </c>
      <c r="L915" s="5">
        <v>840</v>
      </c>
      <c r="M915" s="5">
        <v>0.5</v>
      </c>
      <c r="N915" s="5">
        <v>1790.0851063829789</v>
      </c>
      <c r="O915" s="5"/>
      <c r="P915" s="5" t="s">
        <v>422</v>
      </c>
      <c r="Q915" s="5" t="s">
        <v>57</v>
      </c>
      <c r="R915" s="5" t="s">
        <v>129</v>
      </c>
      <c r="S915" s="7" t="s">
        <v>425</v>
      </c>
    </row>
    <row r="916" spans="1:19" x14ac:dyDescent="0.35">
      <c r="A916" s="6">
        <v>8064707</v>
      </c>
      <c r="B916" s="5" t="s">
        <v>148</v>
      </c>
      <c r="C916" s="5" t="s">
        <v>189</v>
      </c>
      <c r="D916" s="5" t="s">
        <v>162</v>
      </c>
      <c r="E916" s="5" t="s">
        <v>140</v>
      </c>
      <c r="F916" s="5" t="s">
        <v>420</v>
      </c>
      <c r="G916" s="5">
        <v>874</v>
      </c>
      <c r="H916" s="5">
        <v>2499</v>
      </c>
      <c r="I916" s="5" t="s">
        <v>197</v>
      </c>
      <c r="J916" s="5" t="s">
        <v>185</v>
      </c>
      <c r="K916" s="5">
        <v>3.8</v>
      </c>
      <c r="L916" s="5">
        <v>839</v>
      </c>
      <c r="M916" s="5">
        <v>0.65</v>
      </c>
      <c r="N916" s="5">
        <v>1351.2078667815099</v>
      </c>
      <c r="O916" s="5">
        <v>874</v>
      </c>
      <c r="P916" s="5" t="s">
        <v>185</v>
      </c>
      <c r="Q916" s="5" t="s">
        <v>55</v>
      </c>
      <c r="R916" s="5" t="s">
        <v>129</v>
      </c>
      <c r="S916" s="7" t="s">
        <v>421</v>
      </c>
    </row>
    <row r="917" spans="1:19" x14ac:dyDescent="0.35">
      <c r="A917" s="6">
        <v>2387568</v>
      </c>
      <c r="B917" s="5" t="s">
        <v>250</v>
      </c>
      <c r="C917" s="5" t="s">
        <v>189</v>
      </c>
      <c r="D917" s="5" t="s">
        <v>418</v>
      </c>
      <c r="E917" s="5" t="s">
        <v>140</v>
      </c>
      <c r="F917" s="5" t="s">
        <v>417</v>
      </c>
      <c r="G917" s="5">
        <v>719</v>
      </c>
      <c r="H917" s="5">
        <v>1599</v>
      </c>
      <c r="I917" s="5" t="s">
        <v>178</v>
      </c>
      <c r="J917" s="5" t="s">
        <v>408</v>
      </c>
      <c r="K917" s="5">
        <v>4.5</v>
      </c>
      <c r="L917" s="5">
        <v>839</v>
      </c>
      <c r="M917" s="5">
        <v>0.55000000000000004</v>
      </c>
      <c r="N917" s="5">
        <v>1351.2078667815099</v>
      </c>
      <c r="O917" s="5">
        <v>719</v>
      </c>
      <c r="P917" s="5" t="s">
        <v>408</v>
      </c>
      <c r="Q917" s="5" t="s">
        <v>55</v>
      </c>
      <c r="R917" s="5" t="s">
        <v>129</v>
      </c>
      <c r="S917" s="7" t="s">
        <v>419</v>
      </c>
    </row>
    <row r="918" spans="1:19" x14ac:dyDescent="0.35">
      <c r="A918" s="6">
        <v>11895978</v>
      </c>
      <c r="B918" s="5" t="s">
        <v>250</v>
      </c>
      <c r="C918" s="5" t="s">
        <v>142</v>
      </c>
      <c r="D918" s="5" t="s">
        <v>141</v>
      </c>
      <c r="E918" s="5" t="s">
        <v>140</v>
      </c>
      <c r="F918" s="5" t="s">
        <v>415</v>
      </c>
      <c r="G918" s="5">
        <v>559</v>
      </c>
      <c r="H918" s="5">
        <v>1399</v>
      </c>
      <c r="I918" s="5" t="s">
        <v>223</v>
      </c>
      <c r="J918" s="5" t="s">
        <v>276</v>
      </c>
      <c r="K918" s="5">
        <v>4.3</v>
      </c>
      <c r="L918" s="5">
        <v>839</v>
      </c>
      <c r="M918" s="5">
        <v>0.6</v>
      </c>
      <c r="N918" s="5">
        <v>1138.6340612208289</v>
      </c>
      <c r="O918" s="5">
        <v>559</v>
      </c>
      <c r="P918" s="5" t="s">
        <v>276</v>
      </c>
      <c r="Q918" s="5" t="s">
        <v>55</v>
      </c>
      <c r="R918" s="5" t="s">
        <v>129</v>
      </c>
      <c r="S918" s="7" t="s">
        <v>416</v>
      </c>
    </row>
    <row r="919" spans="1:19" x14ac:dyDescent="0.35">
      <c r="A919" s="6">
        <v>2519738</v>
      </c>
      <c r="B919" s="5" t="s">
        <v>250</v>
      </c>
      <c r="C919" s="5" t="s">
        <v>163</v>
      </c>
      <c r="D919" s="5" t="s">
        <v>77</v>
      </c>
      <c r="E919" s="5" t="s">
        <v>133</v>
      </c>
      <c r="F919" s="5" t="s">
        <v>413</v>
      </c>
      <c r="G919" s="5"/>
      <c r="H919" s="5">
        <v>699</v>
      </c>
      <c r="I919" s="5" t="s">
        <v>209</v>
      </c>
      <c r="J919" s="5" t="s">
        <v>192</v>
      </c>
      <c r="K919" s="5">
        <v>4</v>
      </c>
      <c r="L919" s="5">
        <v>839</v>
      </c>
      <c r="M919" s="5">
        <v>0.5</v>
      </c>
      <c r="N919" s="5">
        <v>1790.0851063829789</v>
      </c>
      <c r="O919" s="5"/>
      <c r="P919" s="5" t="s">
        <v>192</v>
      </c>
      <c r="Q919" s="5" t="s">
        <v>57</v>
      </c>
      <c r="R919" s="5" t="s">
        <v>129</v>
      </c>
      <c r="S919" s="7" t="s">
        <v>414</v>
      </c>
    </row>
    <row r="920" spans="1:19" x14ac:dyDescent="0.35">
      <c r="A920" s="6">
        <v>8328405</v>
      </c>
      <c r="B920" s="5" t="s">
        <v>152</v>
      </c>
      <c r="C920" s="5" t="s">
        <v>189</v>
      </c>
      <c r="D920" s="5" t="s">
        <v>199</v>
      </c>
      <c r="E920" s="5" t="s">
        <v>140</v>
      </c>
      <c r="F920" s="5" t="s">
        <v>411</v>
      </c>
      <c r="G920" s="5">
        <v>959</v>
      </c>
      <c r="H920" s="5">
        <v>2399</v>
      </c>
      <c r="I920" s="5" t="s">
        <v>223</v>
      </c>
      <c r="J920" s="5" t="s">
        <v>150</v>
      </c>
      <c r="K920" s="5">
        <v>4.0999999999999996</v>
      </c>
      <c r="L920" s="5">
        <v>838</v>
      </c>
      <c r="M920" s="5">
        <v>0.6</v>
      </c>
      <c r="N920" s="5">
        <v>1351.2078667815099</v>
      </c>
      <c r="O920" s="5">
        <v>959</v>
      </c>
      <c r="P920" s="5" t="s">
        <v>150</v>
      </c>
      <c r="Q920" s="5" t="s">
        <v>55</v>
      </c>
      <c r="R920" s="5" t="s">
        <v>129</v>
      </c>
      <c r="S920" s="7" t="s">
        <v>412</v>
      </c>
    </row>
    <row r="921" spans="1:19" x14ac:dyDescent="0.35">
      <c r="A921" s="6">
        <v>2119005</v>
      </c>
      <c r="B921" s="5" t="s">
        <v>250</v>
      </c>
      <c r="C921" s="5" t="s">
        <v>189</v>
      </c>
      <c r="D921" s="5" t="s">
        <v>188</v>
      </c>
      <c r="E921" s="5" t="s">
        <v>140</v>
      </c>
      <c r="F921" s="5" t="s">
        <v>409</v>
      </c>
      <c r="G921" s="5">
        <v>899</v>
      </c>
      <c r="H921" s="5">
        <v>1999</v>
      </c>
      <c r="I921" s="5" t="s">
        <v>178</v>
      </c>
      <c r="J921" s="5" t="s">
        <v>408</v>
      </c>
      <c r="K921" s="5">
        <v>3.7</v>
      </c>
      <c r="L921" s="5">
        <v>838</v>
      </c>
      <c r="M921" s="5">
        <v>0.55000000000000004</v>
      </c>
      <c r="N921" s="5">
        <v>1351.2078667815099</v>
      </c>
      <c r="O921" s="5">
        <v>899</v>
      </c>
      <c r="P921" s="5" t="s">
        <v>408</v>
      </c>
      <c r="Q921" s="5" t="s">
        <v>55</v>
      </c>
      <c r="R921" s="5" t="s">
        <v>129</v>
      </c>
      <c r="S921" s="7" t="s">
        <v>410</v>
      </c>
    </row>
    <row r="922" spans="1:19" x14ac:dyDescent="0.35">
      <c r="A922" s="6">
        <v>10944710</v>
      </c>
      <c r="B922" s="5" t="s">
        <v>250</v>
      </c>
      <c r="C922" s="5" t="s">
        <v>142</v>
      </c>
      <c r="D922" s="5" t="s">
        <v>141</v>
      </c>
      <c r="E922" s="5" t="s">
        <v>140</v>
      </c>
      <c r="F922" s="5" t="s">
        <v>406</v>
      </c>
      <c r="G922" s="5">
        <v>779</v>
      </c>
      <c r="H922" s="5">
        <v>1299</v>
      </c>
      <c r="I922" s="5" t="s">
        <v>131</v>
      </c>
      <c r="J922" s="5" t="s">
        <v>348</v>
      </c>
      <c r="K922" s="5">
        <v>4.2</v>
      </c>
      <c r="L922" s="5">
        <v>838</v>
      </c>
      <c r="M922" s="5">
        <v>0.4</v>
      </c>
      <c r="N922" s="5">
        <v>1138.6340612208289</v>
      </c>
      <c r="O922" s="5">
        <v>779</v>
      </c>
      <c r="P922" s="5" t="s">
        <v>348</v>
      </c>
      <c r="Q922" s="5" t="s">
        <v>57</v>
      </c>
      <c r="R922" s="5" t="s">
        <v>129</v>
      </c>
      <c r="S922" s="7" t="s">
        <v>407</v>
      </c>
    </row>
    <row r="923" spans="1:19" x14ac:dyDescent="0.35">
      <c r="A923" s="6">
        <v>10480828</v>
      </c>
      <c r="B923" s="5" t="s">
        <v>404</v>
      </c>
      <c r="C923" s="5" t="s">
        <v>163</v>
      </c>
      <c r="D923" s="5" t="s">
        <v>403</v>
      </c>
      <c r="E923" s="5" t="s">
        <v>133</v>
      </c>
      <c r="F923" s="5" t="s">
        <v>402</v>
      </c>
      <c r="G923" s="5"/>
      <c r="H923" s="5">
        <v>1450</v>
      </c>
      <c r="I923" s="5" t="s">
        <v>401</v>
      </c>
      <c r="J923" s="5" t="s">
        <v>237</v>
      </c>
      <c r="K923" s="5">
        <v>4.0999999999999996</v>
      </c>
      <c r="L923" s="5">
        <v>838</v>
      </c>
      <c r="M923" s="5">
        <v>0.66</v>
      </c>
      <c r="N923" s="5">
        <v>1790.0851063829789</v>
      </c>
      <c r="O923" s="5"/>
      <c r="P923" s="5" t="s">
        <v>237</v>
      </c>
      <c r="Q923" s="5" t="s">
        <v>55</v>
      </c>
      <c r="R923" s="5" t="s">
        <v>129</v>
      </c>
      <c r="S923" s="7" t="s">
        <v>405</v>
      </c>
    </row>
    <row r="924" spans="1:19" x14ac:dyDescent="0.35">
      <c r="A924" s="6">
        <v>11896036</v>
      </c>
      <c r="B924" s="5" t="s">
        <v>250</v>
      </c>
      <c r="C924" s="5" t="s">
        <v>142</v>
      </c>
      <c r="D924" s="5" t="s">
        <v>141</v>
      </c>
      <c r="E924" s="5" t="s">
        <v>140</v>
      </c>
      <c r="F924" s="5" t="s">
        <v>399</v>
      </c>
      <c r="G924" s="5">
        <v>584</v>
      </c>
      <c r="H924" s="5">
        <v>1299</v>
      </c>
      <c r="I924" s="5" t="s">
        <v>178</v>
      </c>
      <c r="J924" s="5" t="s">
        <v>348</v>
      </c>
      <c r="K924" s="5">
        <v>4.3</v>
      </c>
      <c r="L924" s="5">
        <v>837</v>
      </c>
      <c r="M924" s="5">
        <v>0.55000000000000004</v>
      </c>
      <c r="N924" s="5">
        <v>1138.6340612208289</v>
      </c>
      <c r="O924" s="5">
        <v>584</v>
      </c>
      <c r="P924" s="5" t="s">
        <v>348</v>
      </c>
      <c r="Q924" s="5" t="s">
        <v>55</v>
      </c>
      <c r="R924" s="5" t="s">
        <v>129</v>
      </c>
      <c r="S924" s="7" t="s">
        <v>400</v>
      </c>
    </row>
    <row r="925" spans="1:19" x14ac:dyDescent="0.35">
      <c r="A925" s="6">
        <v>2118953</v>
      </c>
      <c r="B925" s="5" t="s">
        <v>397</v>
      </c>
      <c r="C925" s="5" t="s">
        <v>142</v>
      </c>
      <c r="D925" s="5" t="s">
        <v>215</v>
      </c>
      <c r="E925" s="5" t="s">
        <v>140</v>
      </c>
      <c r="F925" s="5" t="s">
        <v>396</v>
      </c>
      <c r="G925" s="5">
        <v>474</v>
      </c>
      <c r="H925" s="5">
        <v>1899</v>
      </c>
      <c r="I925" s="5" t="s">
        <v>310</v>
      </c>
      <c r="J925" s="5" t="s">
        <v>212</v>
      </c>
      <c r="K925" s="5">
        <v>4</v>
      </c>
      <c r="L925" s="5">
        <v>837</v>
      </c>
      <c r="M925" s="5">
        <v>0.75</v>
      </c>
      <c r="N925" s="5">
        <v>1138.6340612208289</v>
      </c>
      <c r="O925" s="5">
        <v>474</v>
      </c>
      <c r="P925" s="5" t="s">
        <v>212</v>
      </c>
      <c r="Q925" s="5" t="s">
        <v>55</v>
      </c>
      <c r="R925" s="5" t="s">
        <v>129</v>
      </c>
      <c r="S925" s="7" t="s">
        <v>398</v>
      </c>
    </row>
    <row r="926" spans="1:19" x14ac:dyDescent="0.35">
      <c r="A926" s="6">
        <v>13530352</v>
      </c>
      <c r="B926" s="5" t="s">
        <v>394</v>
      </c>
      <c r="C926" s="5" t="s">
        <v>135</v>
      </c>
      <c r="D926" s="5" t="s">
        <v>377</v>
      </c>
      <c r="E926" s="5" t="s">
        <v>133</v>
      </c>
      <c r="F926" s="5" t="s">
        <v>393</v>
      </c>
      <c r="G926" s="5">
        <v>1479</v>
      </c>
      <c r="H926" s="5">
        <v>3999</v>
      </c>
      <c r="I926" s="5" t="s">
        <v>392</v>
      </c>
      <c r="J926" s="5" t="s">
        <v>391</v>
      </c>
      <c r="K926" s="5">
        <v>4.3</v>
      </c>
      <c r="L926" s="5">
        <v>837</v>
      </c>
      <c r="M926" s="5">
        <v>0.63</v>
      </c>
      <c r="N926" s="5">
        <v>1493.337491012077</v>
      </c>
      <c r="O926" s="5">
        <v>1479</v>
      </c>
      <c r="P926" s="5" t="s">
        <v>391</v>
      </c>
      <c r="Q926" s="5" t="s">
        <v>55</v>
      </c>
      <c r="R926" s="5" t="s">
        <v>129</v>
      </c>
      <c r="S926" s="7" t="s">
        <v>395</v>
      </c>
    </row>
    <row r="927" spans="1:19" x14ac:dyDescent="0.35">
      <c r="A927" s="6">
        <v>12018218</v>
      </c>
      <c r="B927" s="5" t="s">
        <v>136</v>
      </c>
      <c r="C927" s="5" t="s">
        <v>235</v>
      </c>
      <c r="D927" s="5" t="s">
        <v>77</v>
      </c>
      <c r="E927" s="5" t="s">
        <v>133</v>
      </c>
      <c r="F927" s="5" t="s">
        <v>389</v>
      </c>
      <c r="G927" s="5">
        <v>494</v>
      </c>
      <c r="H927" s="5">
        <v>1099</v>
      </c>
      <c r="I927" s="5" t="s">
        <v>178</v>
      </c>
      <c r="J927" s="5" t="s">
        <v>177</v>
      </c>
      <c r="K927" s="5">
        <v>4.3</v>
      </c>
      <c r="L927" s="5">
        <v>837</v>
      </c>
      <c r="M927" s="5">
        <v>0.55000000000000004</v>
      </c>
      <c r="N927" s="5">
        <v>923.69459774582197</v>
      </c>
      <c r="O927" s="5">
        <v>494</v>
      </c>
      <c r="P927" s="5" t="s">
        <v>177</v>
      </c>
      <c r="Q927" s="5" t="s">
        <v>55</v>
      </c>
      <c r="R927" s="5" t="s">
        <v>129</v>
      </c>
      <c r="S927" s="7" t="s">
        <v>390</v>
      </c>
    </row>
    <row r="928" spans="1:19" x14ac:dyDescent="0.35">
      <c r="A928" s="6">
        <v>6995097</v>
      </c>
      <c r="B928" s="5" t="s">
        <v>250</v>
      </c>
      <c r="C928" s="5" t="s">
        <v>163</v>
      </c>
      <c r="D928" s="5" t="s">
        <v>162</v>
      </c>
      <c r="E928" s="5" t="s">
        <v>133</v>
      </c>
      <c r="F928" s="5" t="s">
        <v>387</v>
      </c>
      <c r="G928" s="5"/>
      <c r="H928" s="5">
        <v>1299</v>
      </c>
      <c r="I928" s="5" t="s">
        <v>36</v>
      </c>
      <c r="J928" s="5" t="s">
        <v>222</v>
      </c>
      <c r="K928" s="5">
        <v>4</v>
      </c>
      <c r="L928" s="5">
        <v>837</v>
      </c>
      <c r="M928" s="5">
        <v>0.45</v>
      </c>
      <c r="N928" s="5">
        <v>1790.0851063829789</v>
      </c>
      <c r="O928" s="5"/>
      <c r="P928" s="5" t="s">
        <v>222</v>
      </c>
      <c r="Q928" s="5" t="s">
        <v>57</v>
      </c>
      <c r="R928" s="5" t="s">
        <v>129</v>
      </c>
      <c r="S928" s="7" t="s">
        <v>388</v>
      </c>
    </row>
    <row r="929" spans="1:19" x14ac:dyDescent="0.35">
      <c r="A929" s="6">
        <v>11489514</v>
      </c>
      <c r="B929" s="5" t="s">
        <v>250</v>
      </c>
      <c r="C929" s="5" t="s">
        <v>163</v>
      </c>
      <c r="D929" s="5" t="s">
        <v>385</v>
      </c>
      <c r="E929" s="5" t="s">
        <v>133</v>
      </c>
      <c r="F929" s="5" t="s">
        <v>384</v>
      </c>
      <c r="G929" s="5"/>
      <c r="H929" s="5">
        <v>1499</v>
      </c>
      <c r="I929" s="5" t="s">
        <v>178</v>
      </c>
      <c r="J929" s="5" t="s">
        <v>222</v>
      </c>
      <c r="K929" s="5">
        <v>4.2</v>
      </c>
      <c r="L929" s="5">
        <v>837</v>
      </c>
      <c r="M929" s="5">
        <v>0.55000000000000004</v>
      </c>
      <c r="N929" s="5">
        <v>1790.0851063829789</v>
      </c>
      <c r="O929" s="5"/>
      <c r="P929" s="5" t="s">
        <v>222</v>
      </c>
      <c r="Q929" s="5" t="s">
        <v>55</v>
      </c>
      <c r="R929" s="5" t="s">
        <v>129</v>
      </c>
      <c r="S929" s="7" t="s">
        <v>386</v>
      </c>
    </row>
    <row r="930" spans="1:19" x14ac:dyDescent="0.35">
      <c r="A930" s="6">
        <v>3855148</v>
      </c>
      <c r="B930" s="5" t="s">
        <v>190</v>
      </c>
      <c r="C930" s="5" t="s">
        <v>189</v>
      </c>
      <c r="D930" s="5" t="s">
        <v>162</v>
      </c>
      <c r="E930" s="5" t="s">
        <v>140</v>
      </c>
      <c r="F930" s="5" t="s">
        <v>382</v>
      </c>
      <c r="G930" s="5">
        <v>798</v>
      </c>
      <c r="H930" s="5">
        <v>1699</v>
      </c>
      <c r="I930" s="5" t="s">
        <v>381</v>
      </c>
      <c r="J930" s="5" t="s">
        <v>380</v>
      </c>
      <c r="K930" s="5">
        <v>4.0999999999999996</v>
      </c>
      <c r="L930" s="5">
        <v>836</v>
      </c>
      <c r="M930" s="5">
        <v>0.53</v>
      </c>
      <c r="N930" s="5">
        <v>1351.2078667815099</v>
      </c>
      <c r="O930" s="5">
        <v>798</v>
      </c>
      <c r="P930" s="5" t="s">
        <v>380</v>
      </c>
      <c r="Q930" s="5" t="s">
        <v>55</v>
      </c>
      <c r="R930" s="5" t="s">
        <v>129</v>
      </c>
      <c r="S930" s="7" t="s">
        <v>383</v>
      </c>
    </row>
    <row r="931" spans="1:19" x14ac:dyDescent="0.35">
      <c r="A931" s="6">
        <v>13895560</v>
      </c>
      <c r="B931" s="5" t="s">
        <v>378</v>
      </c>
      <c r="C931" s="5" t="s">
        <v>135</v>
      </c>
      <c r="D931" s="5" t="s">
        <v>377</v>
      </c>
      <c r="E931" s="5" t="s">
        <v>133</v>
      </c>
      <c r="F931" s="5" t="s">
        <v>376</v>
      </c>
      <c r="G931" s="5">
        <v>2939</v>
      </c>
      <c r="H931" s="5">
        <v>6999</v>
      </c>
      <c r="I931" s="5" t="s">
        <v>319</v>
      </c>
      <c r="J931" s="5" t="s">
        <v>196</v>
      </c>
      <c r="K931" s="5">
        <v>4.2</v>
      </c>
      <c r="L931" s="5">
        <v>836</v>
      </c>
      <c r="M931" s="5">
        <v>0.57999999999999996</v>
      </c>
      <c r="N931" s="5">
        <v>1493.337491012077</v>
      </c>
      <c r="O931" s="5">
        <v>2939</v>
      </c>
      <c r="P931" s="5" t="s">
        <v>196</v>
      </c>
      <c r="Q931" s="5" t="s">
        <v>55</v>
      </c>
      <c r="R931" s="5" t="s">
        <v>129</v>
      </c>
      <c r="S931" s="7" t="s">
        <v>379</v>
      </c>
    </row>
    <row r="932" spans="1:19" x14ac:dyDescent="0.35">
      <c r="A932" s="6">
        <v>13567602</v>
      </c>
      <c r="B932" s="5" t="s">
        <v>374</v>
      </c>
      <c r="C932" s="5" t="s">
        <v>273</v>
      </c>
      <c r="D932" s="5" t="s">
        <v>373</v>
      </c>
      <c r="E932" s="5" t="s">
        <v>133</v>
      </c>
      <c r="F932" s="5" t="s">
        <v>372</v>
      </c>
      <c r="G932" s="5">
        <v>883</v>
      </c>
      <c r="H932" s="5">
        <v>1699</v>
      </c>
      <c r="I932" s="5" t="s">
        <v>371</v>
      </c>
      <c r="J932" s="5" t="s">
        <v>212</v>
      </c>
      <c r="K932" s="5">
        <v>4.3</v>
      </c>
      <c r="L932" s="5">
        <v>836</v>
      </c>
      <c r="M932" s="5">
        <v>0.48</v>
      </c>
      <c r="N932" s="5">
        <v>811.90284167198604</v>
      </c>
      <c r="O932" s="5">
        <v>883</v>
      </c>
      <c r="P932" s="5" t="s">
        <v>212</v>
      </c>
      <c r="Q932" s="5" t="s">
        <v>57</v>
      </c>
      <c r="R932" s="5" t="s">
        <v>129</v>
      </c>
      <c r="S932" s="7" t="s">
        <v>375</v>
      </c>
    </row>
    <row r="933" spans="1:19" x14ac:dyDescent="0.35">
      <c r="A933" s="6">
        <v>11174228</v>
      </c>
      <c r="B933" s="5" t="s">
        <v>180</v>
      </c>
      <c r="C933" s="5" t="s">
        <v>235</v>
      </c>
      <c r="D933" s="5" t="s">
        <v>168</v>
      </c>
      <c r="E933" s="5" t="s">
        <v>133</v>
      </c>
      <c r="F933" s="5" t="s">
        <v>369</v>
      </c>
      <c r="G933" s="5">
        <v>454</v>
      </c>
      <c r="H933" s="5">
        <v>1299</v>
      </c>
      <c r="I933" s="5" t="s">
        <v>197</v>
      </c>
      <c r="J933" s="5" t="s">
        <v>177</v>
      </c>
      <c r="K933" s="5">
        <v>3.9</v>
      </c>
      <c r="L933" s="5">
        <v>836</v>
      </c>
      <c r="M933" s="5">
        <v>0.65</v>
      </c>
      <c r="N933" s="5">
        <v>923.69459774582197</v>
      </c>
      <c r="O933" s="5">
        <v>454</v>
      </c>
      <c r="P933" s="5" t="s">
        <v>177</v>
      </c>
      <c r="Q933" s="5" t="s">
        <v>55</v>
      </c>
      <c r="R933" s="5" t="s">
        <v>129</v>
      </c>
      <c r="S933" s="7" t="s">
        <v>370</v>
      </c>
    </row>
    <row r="934" spans="1:19" x14ac:dyDescent="0.35">
      <c r="A934" s="6">
        <v>10742386</v>
      </c>
      <c r="B934" s="5" t="s">
        <v>164</v>
      </c>
      <c r="C934" s="5" t="s">
        <v>163</v>
      </c>
      <c r="D934" s="5" t="s">
        <v>215</v>
      </c>
      <c r="E934" s="5" t="s">
        <v>133</v>
      </c>
      <c r="F934" s="5" t="s">
        <v>367</v>
      </c>
      <c r="G934" s="5"/>
      <c r="H934" s="5">
        <v>1349</v>
      </c>
      <c r="I934" s="5" t="s">
        <v>230</v>
      </c>
      <c r="J934" s="5" t="s">
        <v>212</v>
      </c>
      <c r="K934" s="5">
        <v>4.4000000000000004</v>
      </c>
      <c r="L934" s="5">
        <v>836</v>
      </c>
      <c r="M934" s="5">
        <v>0.62</v>
      </c>
      <c r="N934" s="5">
        <v>1790.0851063829789</v>
      </c>
      <c r="O934" s="5"/>
      <c r="P934" s="5" t="s">
        <v>212</v>
      </c>
      <c r="Q934" s="5" t="s">
        <v>55</v>
      </c>
      <c r="R934" s="5" t="s">
        <v>129</v>
      </c>
      <c r="S934" s="7" t="s">
        <v>368</v>
      </c>
    </row>
    <row r="935" spans="1:19" x14ac:dyDescent="0.35">
      <c r="A935" s="6">
        <v>13204882</v>
      </c>
      <c r="B935" s="5" t="s">
        <v>365</v>
      </c>
      <c r="C935" s="5" t="s">
        <v>163</v>
      </c>
      <c r="D935" s="5" t="s">
        <v>194</v>
      </c>
      <c r="E935" s="5" t="s">
        <v>133</v>
      </c>
      <c r="F935" s="5" t="s">
        <v>364</v>
      </c>
      <c r="G935" s="5"/>
      <c r="H935" s="5">
        <v>1699</v>
      </c>
      <c r="I935" s="5" t="s">
        <v>205</v>
      </c>
      <c r="J935" s="5" t="s">
        <v>196</v>
      </c>
      <c r="K935" s="5">
        <v>4.2</v>
      </c>
      <c r="L935" s="5">
        <v>836</v>
      </c>
      <c r="M935" s="5">
        <v>0.35</v>
      </c>
      <c r="N935" s="5">
        <v>1790.0851063829789</v>
      </c>
      <c r="O935" s="5"/>
      <c r="P935" s="5" t="s">
        <v>196</v>
      </c>
      <c r="Q935" s="5" t="s">
        <v>57</v>
      </c>
      <c r="R935" s="5" t="s">
        <v>129</v>
      </c>
      <c r="S935" s="7" t="s">
        <v>366</v>
      </c>
    </row>
    <row r="936" spans="1:19" x14ac:dyDescent="0.35">
      <c r="A936" s="6">
        <v>5447367</v>
      </c>
      <c r="B936" s="5" t="s">
        <v>250</v>
      </c>
      <c r="C936" s="5" t="s">
        <v>163</v>
      </c>
      <c r="D936" s="5" t="s">
        <v>362</v>
      </c>
      <c r="E936" s="5" t="s">
        <v>133</v>
      </c>
      <c r="F936" s="5" t="s">
        <v>361</v>
      </c>
      <c r="G936" s="5"/>
      <c r="H936" s="5">
        <v>1699</v>
      </c>
      <c r="I936" s="5" t="s">
        <v>283</v>
      </c>
      <c r="J936" s="5" t="s">
        <v>196</v>
      </c>
      <c r="K936" s="5">
        <v>4.2</v>
      </c>
      <c r="L936" s="5">
        <v>836</v>
      </c>
      <c r="M936" s="5">
        <v>0.7</v>
      </c>
      <c r="N936" s="5">
        <v>1790.0851063829789</v>
      </c>
      <c r="O936" s="5"/>
      <c r="P936" s="5" t="s">
        <v>196</v>
      </c>
      <c r="Q936" s="5" t="s">
        <v>55</v>
      </c>
      <c r="R936" s="5" t="s">
        <v>129</v>
      </c>
      <c r="S936" s="7" t="s">
        <v>363</v>
      </c>
    </row>
    <row r="937" spans="1:19" x14ac:dyDescent="0.35">
      <c r="A937" s="6">
        <v>9739965</v>
      </c>
      <c r="B937" s="5" t="s">
        <v>250</v>
      </c>
      <c r="C937" s="5" t="s">
        <v>163</v>
      </c>
      <c r="D937" s="5" t="s">
        <v>77</v>
      </c>
      <c r="E937" s="5" t="s">
        <v>133</v>
      </c>
      <c r="F937" s="5" t="s">
        <v>359</v>
      </c>
      <c r="G937" s="5"/>
      <c r="H937" s="5">
        <v>799</v>
      </c>
      <c r="I937" s="5" t="s">
        <v>178</v>
      </c>
      <c r="J937" s="5" t="s">
        <v>192</v>
      </c>
      <c r="K937" s="5">
        <v>4.0999999999999996</v>
      </c>
      <c r="L937" s="5">
        <v>836</v>
      </c>
      <c r="M937" s="5">
        <v>0.55000000000000004</v>
      </c>
      <c r="N937" s="5">
        <v>1790.0851063829789</v>
      </c>
      <c r="O937" s="5"/>
      <c r="P937" s="5" t="s">
        <v>192</v>
      </c>
      <c r="Q937" s="5" t="s">
        <v>55</v>
      </c>
      <c r="R937" s="5" t="s">
        <v>129</v>
      </c>
      <c r="S937" s="7" t="s">
        <v>360</v>
      </c>
    </row>
    <row r="938" spans="1:19" x14ac:dyDescent="0.35">
      <c r="A938" s="6">
        <v>10440650</v>
      </c>
      <c r="B938" s="5" t="s">
        <v>200</v>
      </c>
      <c r="C938" s="5" t="s">
        <v>163</v>
      </c>
      <c r="D938" s="5" t="s">
        <v>228</v>
      </c>
      <c r="E938" s="5" t="s">
        <v>133</v>
      </c>
      <c r="F938" s="5" t="s">
        <v>357</v>
      </c>
      <c r="G938" s="5"/>
      <c r="H938" s="5">
        <v>1599</v>
      </c>
      <c r="I938" s="5"/>
      <c r="J938" s="5" t="s">
        <v>192</v>
      </c>
      <c r="K938" s="5">
        <v>4</v>
      </c>
      <c r="L938" s="5">
        <v>836</v>
      </c>
      <c r="M938" s="5"/>
      <c r="N938" s="5">
        <v>1790.0851063829789</v>
      </c>
      <c r="O938" s="5">
        <v>1790.0851063829789</v>
      </c>
      <c r="P938" s="5" t="s">
        <v>192</v>
      </c>
      <c r="Q938" s="5" t="s">
        <v>57</v>
      </c>
      <c r="R938" s="5" t="s">
        <v>129</v>
      </c>
      <c r="S938" s="7" t="s">
        <v>358</v>
      </c>
    </row>
    <row r="939" spans="1:19" x14ac:dyDescent="0.35">
      <c r="A939" s="6">
        <v>17977458</v>
      </c>
      <c r="B939" s="5" t="s">
        <v>355</v>
      </c>
      <c r="C939" s="5" t="s">
        <v>156</v>
      </c>
      <c r="D939" s="5" t="s">
        <v>354</v>
      </c>
      <c r="E939" s="5" t="s">
        <v>140</v>
      </c>
      <c r="F939" s="5" t="s">
        <v>353</v>
      </c>
      <c r="G939" s="5"/>
      <c r="H939" s="5">
        <v>1398</v>
      </c>
      <c r="I939" s="5"/>
      <c r="J939" s="5" t="s">
        <v>352</v>
      </c>
      <c r="K939" s="5">
        <v>4.4000000000000004</v>
      </c>
      <c r="L939" s="5">
        <v>835</v>
      </c>
      <c r="M939" s="5"/>
      <c r="N939" s="5">
        <v>691.83976143141149</v>
      </c>
      <c r="O939" s="5">
        <v>691.83976143141149</v>
      </c>
      <c r="P939" s="5" t="s">
        <v>352</v>
      </c>
      <c r="Q939" s="5" t="s">
        <v>57</v>
      </c>
      <c r="R939" s="5" t="s">
        <v>129</v>
      </c>
      <c r="S939" s="7" t="s">
        <v>356</v>
      </c>
    </row>
    <row r="940" spans="1:19" x14ac:dyDescent="0.35">
      <c r="A940" s="6">
        <v>2358001</v>
      </c>
      <c r="B940" s="5" t="s">
        <v>350</v>
      </c>
      <c r="C940" s="5" t="s">
        <v>142</v>
      </c>
      <c r="D940" s="5" t="s">
        <v>141</v>
      </c>
      <c r="E940" s="5" t="s">
        <v>140</v>
      </c>
      <c r="F940" s="5" t="s">
        <v>349</v>
      </c>
      <c r="G940" s="5">
        <v>944</v>
      </c>
      <c r="H940" s="5">
        <v>2099</v>
      </c>
      <c r="I940" s="5" t="s">
        <v>178</v>
      </c>
      <c r="J940" s="5" t="s">
        <v>348</v>
      </c>
      <c r="K940" s="5">
        <v>4</v>
      </c>
      <c r="L940" s="5">
        <v>835</v>
      </c>
      <c r="M940" s="5">
        <v>0.55000000000000004</v>
      </c>
      <c r="N940" s="5">
        <v>1138.6340612208289</v>
      </c>
      <c r="O940" s="5">
        <v>944</v>
      </c>
      <c r="P940" s="5" t="s">
        <v>348</v>
      </c>
      <c r="Q940" s="5" t="s">
        <v>55</v>
      </c>
      <c r="R940" s="5" t="s">
        <v>129</v>
      </c>
      <c r="S940" s="7" t="s">
        <v>351</v>
      </c>
    </row>
    <row r="941" spans="1:19" x14ac:dyDescent="0.35">
      <c r="A941" s="6">
        <v>11900354</v>
      </c>
      <c r="B941" s="5" t="s">
        <v>339</v>
      </c>
      <c r="C941" s="5" t="s">
        <v>142</v>
      </c>
      <c r="D941" s="5" t="s">
        <v>77</v>
      </c>
      <c r="E941" s="5" t="s">
        <v>140</v>
      </c>
      <c r="F941" s="5" t="s">
        <v>346</v>
      </c>
      <c r="G941" s="5">
        <v>349</v>
      </c>
      <c r="H941" s="5">
        <v>699</v>
      </c>
      <c r="I941" s="5" t="s">
        <v>209</v>
      </c>
      <c r="J941" s="5" t="s">
        <v>150</v>
      </c>
      <c r="K941" s="5">
        <v>4.2</v>
      </c>
      <c r="L941" s="5">
        <v>835</v>
      </c>
      <c r="M941" s="5">
        <v>0.5</v>
      </c>
      <c r="N941" s="5">
        <v>1138.6340612208289</v>
      </c>
      <c r="O941" s="5">
        <v>349</v>
      </c>
      <c r="P941" s="5" t="s">
        <v>150</v>
      </c>
      <c r="Q941" s="5" t="s">
        <v>57</v>
      </c>
      <c r="R941" s="5" t="s">
        <v>129</v>
      </c>
      <c r="S941" s="7" t="s">
        <v>347</v>
      </c>
    </row>
    <row r="942" spans="1:19" x14ac:dyDescent="0.35">
      <c r="A942" s="6">
        <v>6608551</v>
      </c>
      <c r="B942" s="5" t="s">
        <v>329</v>
      </c>
      <c r="C942" s="5" t="s">
        <v>273</v>
      </c>
      <c r="D942" s="5" t="s">
        <v>272</v>
      </c>
      <c r="E942" s="5" t="s">
        <v>133</v>
      </c>
      <c r="F942" s="5" t="s">
        <v>344</v>
      </c>
      <c r="G942" s="5">
        <v>614</v>
      </c>
      <c r="H942" s="5">
        <v>945</v>
      </c>
      <c r="I942" s="5" t="s">
        <v>205</v>
      </c>
      <c r="J942" s="5" t="s">
        <v>343</v>
      </c>
      <c r="K942" s="5">
        <v>3.7</v>
      </c>
      <c r="L942" s="5">
        <v>835</v>
      </c>
      <c r="M942" s="5">
        <v>0.35</v>
      </c>
      <c r="N942" s="5">
        <v>811.90284167198604</v>
      </c>
      <c r="O942" s="5">
        <v>614</v>
      </c>
      <c r="P942" s="5" t="s">
        <v>343</v>
      </c>
      <c r="Q942" s="5" t="s">
        <v>57</v>
      </c>
      <c r="R942" s="5" t="s">
        <v>129</v>
      </c>
      <c r="S942" s="7" t="s">
        <v>345</v>
      </c>
    </row>
    <row r="943" spans="1:19" x14ac:dyDescent="0.35">
      <c r="A943" s="6">
        <v>8350403</v>
      </c>
      <c r="B943" s="5" t="s">
        <v>180</v>
      </c>
      <c r="C943" s="5" t="s">
        <v>235</v>
      </c>
      <c r="D943" s="5" t="s">
        <v>168</v>
      </c>
      <c r="E943" s="5" t="s">
        <v>133</v>
      </c>
      <c r="F943" s="5" t="s">
        <v>341</v>
      </c>
      <c r="G943" s="5">
        <v>374</v>
      </c>
      <c r="H943" s="5">
        <v>1499</v>
      </c>
      <c r="I943" s="5" t="s">
        <v>310</v>
      </c>
      <c r="J943" s="5" t="s">
        <v>196</v>
      </c>
      <c r="K943" s="5">
        <v>4</v>
      </c>
      <c r="L943" s="5">
        <v>835</v>
      </c>
      <c r="M943" s="5">
        <v>0.75</v>
      </c>
      <c r="N943" s="5">
        <v>923.69459774582197</v>
      </c>
      <c r="O943" s="5">
        <v>374</v>
      </c>
      <c r="P943" s="5" t="s">
        <v>196</v>
      </c>
      <c r="Q943" s="5" t="s">
        <v>55</v>
      </c>
      <c r="R943" s="5" t="s">
        <v>129</v>
      </c>
      <c r="S943" s="7" t="s">
        <v>342</v>
      </c>
    </row>
    <row r="944" spans="1:19" x14ac:dyDescent="0.35">
      <c r="A944" s="6">
        <v>1270768</v>
      </c>
      <c r="B944" s="5" t="s">
        <v>339</v>
      </c>
      <c r="C944" s="5" t="s">
        <v>163</v>
      </c>
      <c r="D944" s="5" t="s">
        <v>77</v>
      </c>
      <c r="E944" s="5" t="s">
        <v>133</v>
      </c>
      <c r="F944" s="5" t="s">
        <v>338</v>
      </c>
      <c r="G944" s="5"/>
      <c r="H944" s="5">
        <v>649</v>
      </c>
      <c r="I944" s="5" t="s">
        <v>197</v>
      </c>
      <c r="J944" s="5" t="s">
        <v>192</v>
      </c>
      <c r="K944" s="5">
        <v>4.0999999999999996</v>
      </c>
      <c r="L944" s="5">
        <v>835</v>
      </c>
      <c r="M944" s="5">
        <v>0.65</v>
      </c>
      <c r="N944" s="5">
        <v>1790.0851063829789</v>
      </c>
      <c r="O944" s="5"/>
      <c r="P944" s="5" t="s">
        <v>192</v>
      </c>
      <c r="Q944" s="5" t="s">
        <v>55</v>
      </c>
      <c r="R944" s="5" t="s">
        <v>129</v>
      </c>
      <c r="S944" s="7" t="s">
        <v>340</v>
      </c>
    </row>
    <row r="945" spans="1:19" x14ac:dyDescent="0.35">
      <c r="A945" s="6">
        <v>8962463</v>
      </c>
      <c r="B945" s="5" t="s">
        <v>250</v>
      </c>
      <c r="C945" s="5" t="s">
        <v>189</v>
      </c>
      <c r="D945" s="5" t="s">
        <v>162</v>
      </c>
      <c r="E945" s="5" t="s">
        <v>140</v>
      </c>
      <c r="F945" s="5" t="s">
        <v>336</v>
      </c>
      <c r="G945" s="5">
        <v>934</v>
      </c>
      <c r="H945" s="5">
        <v>1699</v>
      </c>
      <c r="I945" s="5" t="s">
        <v>36</v>
      </c>
      <c r="J945" s="5" t="s">
        <v>222</v>
      </c>
      <c r="K945" s="5">
        <v>4</v>
      </c>
      <c r="L945" s="5">
        <v>834</v>
      </c>
      <c r="M945" s="5">
        <v>0.45</v>
      </c>
      <c r="N945" s="5">
        <v>1351.2078667815099</v>
      </c>
      <c r="O945" s="5">
        <v>934</v>
      </c>
      <c r="P945" s="5" t="s">
        <v>222</v>
      </c>
      <c r="Q945" s="5" t="s">
        <v>57</v>
      </c>
      <c r="R945" s="5" t="s">
        <v>129</v>
      </c>
      <c r="S945" s="7" t="s">
        <v>337</v>
      </c>
    </row>
    <row r="946" spans="1:19" x14ac:dyDescent="0.35">
      <c r="A946" s="6">
        <v>16322466</v>
      </c>
      <c r="B946" s="5" t="s">
        <v>152</v>
      </c>
      <c r="C946" s="5" t="s">
        <v>75</v>
      </c>
      <c r="D946" s="5" t="s">
        <v>77</v>
      </c>
      <c r="E946" s="5" t="s">
        <v>140</v>
      </c>
      <c r="F946" s="5" t="s">
        <v>334</v>
      </c>
      <c r="G946" s="5"/>
      <c r="H946" s="5">
        <v>1798</v>
      </c>
      <c r="I946" s="5"/>
      <c r="J946" s="5" t="s">
        <v>333</v>
      </c>
      <c r="K946" s="5">
        <v>4.2</v>
      </c>
      <c r="L946" s="5">
        <v>834</v>
      </c>
      <c r="M946" s="5"/>
      <c r="N946" s="5">
        <v>1097.3783736315199</v>
      </c>
      <c r="O946" s="5">
        <v>1097.3783736315199</v>
      </c>
      <c r="P946" s="5" t="s">
        <v>333</v>
      </c>
      <c r="Q946" s="5" t="s">
        <v>57</v>
      </c>
      <c r="R946" s="5" t="s">
        <v>129</v>
      </c>
      <c r="S946" s="7" t="s">
        <v>335</v>
      </c>
    </row>
    <row r="947" spans="1:19" x14ac:dyDescent="0.35">
      <c r="A947" s="6">
        <v>11363666</v>
      </c>
      <c r="B947" s="5" t="s">
        <v>183</v>
      </c>
      <c r="C947" s="5" t="s">
        <v>142</v>
      </c>
      <c r="D947" s="5" t="s">
        <v>77</v>
      </c>
      <c r="E947" s="5" t="s">
        <v>140</v>
      </c>
      <c r="F947" s="5" t="s">
        <v>331</v>
      </c>
      <c r="G947" s="5">
        <v>499</v>
      </c>
      <c r="H947" s="5">
        <v>999</v>
      </c>
      <c r="I947" s="5" t="s">
        <v>209</v>
      </c>
      <c r="J947" s="5" t="s">
        <v>150</v>
      </c>
      <c r="K947" s="5">
        <v>4.4000000000000004</v>
      </c>
      <c r="L947" s="5">
        <v>834</v>
      </c>
      <c r="M947" s="5">
        <v>0.5</v>
      </c>
      <c r="N947" s="5">
        <v>1138.6340612208289</v>
      </c>
      <c r="O947" s="5">
        <v>499</v>
      </c>
      <c r="P947" s="5" t="s">
        <v>150</v>
      </c>
      <c r="Q947" s="5" t="s">
        <v>57</v>
      </c>
      <c r="R947" s="5" t="s">
        <v>129</v>
      </c>
      <c r="S947" s="7" t="s">
        <v>332</v>
      </c>
    </row>
    <row r="948" spans="1:19" x14ac:dyDescent="0.35">
      <c r="A948" s="6">
        <v>10554970</v>
      </c>
      <c r="B948" s="5" t="s">
        <v>329</v>
      </c>
      <c r="C948" s="5" t="s">
        <v>273</v>
      </c>
      <c r="D948" s="5" t="s">
        <v>272</v>
      </c>
      <c r="E948" s="5" t="s">
        <v>133</v>
      </c>
      <c r="F948" s="5" t="s">
        <v>328</v>
      </c>
      <c r="G948" s="5">
        <v>359</v>
      </c>
      <c r="H948" s="5">
        <v>399</v>
      </c>
      <c r="I948" s="5" t="s">
        <v>270</v>
      </c>
      <c r="J948" s="5" t="s">
        <v>327</v>
      </c>
      <c r="K948" s="5">
        <v>4.2</v>
      </c>
      <c r="L948" s="5">
        <v>834</v>
      </c>
      <c r="M948" s="5">
        <v>0.1</v>
      </c>
      <c r="N948" s="5">
        <v>811.90284167198604</v>
      </c>
      <c r="O948" s="5">
        <v>359</v>
      </c>
      <c r="P948" s="5" t="s">
        <v>327</v>
      </c>
      <c r="Q948" s="5" t="s">
        <v>57</v>
      </c>
      <c r="R948" s="5" t="s">
        <v>129</v>
      </c>
      <c r="S948" s="7" t="s">
        <v>330</v>
      </c>
    </row>
    <row r="949" spans="1:19" x14ac:dyDescent="0.35">
      <c r="A949" s="6">
        <v>17384862</v>
      </c>
      <c r="B949" s="5" t="s">
        <v>250</v>
      </c>
      <c r="C949" s="5" t="s">
        <v>163</v>
      </c>
      <c r="D949" s="5" t="s">
        <v>77</v>
      </c>
      <c r="E949" s="5" t="s">
        <v>133</v>
      </c>
      <c r="F949" s="5" t="s">
        <v>288</v>
      </c>
      <c r="G949" s="5"/>
      <c r="H949" s="5">
        <v>1398</v>
      </c>
      <c r="I949" s="5" t="s">
        <v>209</v>
      </c>
      <c r="J949" s="5" t="s">
        <v>192</v>
      </c>
      <c r="K949" s="5">
        <v>4.3</v>
      </c>
      <c r="L949" s="5">
        <v>834</v>
      </c>
      <c r="M949" s="5">
        <v>0.5</v>
      </c>
      <c r="N949" s="5">
        <v>1790.0851063829789</v>
      </c>
      <c r="O949" s="5"/>
      <c r="P949" s="5" t="s">
        <v>192</v>
      </c>
      <c r="Q949" s="5" t="s">
        <v>57</v>
      </c>
      <c r="R949" s="5" t="s">
        <v>129</v>
      </c>
      <c r="S949" s="7" t="s">
        <v>326</v>
      </c>
    </row>
    <row r="950" spans="1:19" x14ac:dyDescent="0.35">
      <c r="A950" s="6">
        <v>17383642</v>
      </c>
      <c r="B950" s="5" t="s">
        <v>250</v>
      </c>
      <c r="C950" s="5" t="s">
        <v>163</v>
      </c>
      <c r="D950" s="5" t="s">
        <v>77</v>
      </c>
      <c r="E950" s="5" t="s">
        <v>133</v>
      </c>
      <c r="F950" s="5" t="s">
        <v>324</v>
      </c>
      <c r="G950" s="5"/>
      <c r="H950" s="5">
        <v>1598</v>
      </c>
      <c r="I950" s="5" t="s">
        <v>209</v>
      </c>
      <c r="J950" s="5" t="s">
        <v>323</v>
      </c>
      <c r="K950" s="5">
        <v>4.3</v>
      </c>
      <c r="L950" s="5">
        <v>834</v>
      </c>
      <c r="M950" s="5">
        <v>0.5</v>
      </c>
      <c r="N950" s="5">
        <v>1790.0851063829789</v>
      </c>
      <c r="O950" s="5"/>
      <c r="P950" s="5" t="s">
        <v>323</v>
      </c>
      <c r="Q950" s="5" t="s">
        <v>57</v>
      </c>
      <c r="R950" s="5" t="s">
        <v>129</v>
      </c>
      <c r="S950" s="7" t="s">
        <v>325</v>
      </c>
    </row>
    <row r="951" spans="1:19" x14ac:dyDescent="0.35">
      <c r="A951" s="6">
        <v>4441317</v>
      </c>
      <c r="B951" s="5" t="s">
        <v>321</v>
      </c>
      <c r="C951" s="5" t="s">
        <v>163</v>
      </c>
      <c r="D951" s="5" t="s">
        <v>194</v>
      </c>
      <c r="E951" s="5" t="s">
        <v>133</v>
      </c>
      <c r="F951" s="5" t="s">
        <v>320</v>
      </c>
      <c r="G951" s="5"/>
      <c r="H951" s="5">
        <v>895</v>
      </c>
      <c r="I951" s="5" t="s">
        <v>319</v>
      </c>
      <c r="J951" s="5" t="s">
        <v>212</v>
      </c>
      <c r="K951" s="5">
        <v>4.0999999999999996</v>
      </c>
      <c r="L951" s="5">
        <v>834</v>
      </c>
      <c r="M951" s="5">
        <v>0.57999999999999996</v>
      </c>
      <c r="N951" s="5">
        <v>1790.0851063829789</v>
      </c>
      <c r="O951" s="5"/>
      <c r="P951" s="5" t="s">
        <v>212</v>
      </c>
      <c r="Q951" s="5" t="s">
        <v>55</v>
      </c>
      <c r="R951" s="5" t="s">
        <v>129</v>
      </c>
      <c r="S951" s="7" t="s">
        <v>322</v>
      </c>
    </row>
    <row r="952" spans="1:19" x14ac:dyDescent="0.35">
      <c r="A952" s="6">
        <v>6791073</v>
      </c>
      <c r="B952" s="5" t="s">
        <v>152</v>
      </c>
      <c r="C952" s="5" t="s">
        <v>189</v>
      </c>
      <c r="D952" s="5" t="s">
        <v>199</v>
      </c>
      <c r="E952" s="5" t="s">
        <v>140</v>
      </c>
      <c r="F952" s="5" t="s">
        <v>317</v>
      </c>
      <c r="G952" s="5">
        <v>679</v>
      </c>
      <c r="H952" s="5">
        <v>1699</v>
      </c>
      <c r="I952" s="5" t="s">
        <v>223</v>
      </c>
      <c r="J952" s="5" t="s">
        <v>150</v>
      </c>
      <c r="K952" s="5">
        <v>4.3</v>
      </c>
      <c r="L952" s="5">
        <v>833</v>
      </c>
      <c r="M952" s="5">
        <v>0.6</v>
      </c>
      <c r="N952" s="5">
        <v>1351.2078667815099</v>
      </c>
      <c r="O952" s="5">
        <v>679</v>
      </c>
      <c r="P952" s="5" t="s">
        <v>150</v>
      </c>
      <c r="Q952" s="5" t="s">
        <v>55</v>
      </c>
      <c r="R952" s="5" t="s">
        <v>129</v>
      </c>
      <c r="S952" s="7" t="s">
        <v>318</v>
      </c>
    </row>
    <row r="953" spans="1:19" x14ac:dyDescent="0.35">
      <c r="A953" s="6">
        <v>10986386</v>
      </c>
      <c r="B953" s="5" t="s">
        <v>225</v>
      </c>
      <c r="C953" s="5" t="s">
        <v>156</v>
      </c>
      <c r="D953" s="5" t="s">
        <v>220</v>
      </c>
      <c r="E953" s="5" t="s">
        <v>140</v>
      </c>
      <c r="F953" s="5" t="s">
        <v>315</v>
      </c>
      <c r="G953" s="5">
        <v>199</v>
      </c>
      <c r="H953" s="5">
        <v>499</v>
      </c>
      <c r="I953" s="5" t="s">
        <v>314</v>
      </c>
      <c r="J953" s="5" t="s">
        <v>171</v>
      </c>
      <c r="K953" s="5">
        <v>4.4000000000000004</v>
      </c>
      <c r="L953" s="5">
        <v>833</v>
      </c>
      <c r="M953" s="5">
        <v>0.6</v>
      </c>
      <c r="N953" s="5">
        <v>691.83976143141149</v>
      </c>
      <c r="O953" s="5">
        <v>199</v>
      </c>
      <c r="P953" s="5" t="s">
        <v>171</v>
      </c>
      <c r="Q953" s="5" t="s">
        <v>55</v>
      </c>
      <c r="R953" s="5" t="s">
        <v>129</v>
      </c>
      <c r="S953" s="7" t="s">
        <v>316</v>
      </c>
    </row>
    <row r="954" spans="1:19" x14ac:dyDescent="0.35">
      <c r="A954" s="6">
        <v>14879588</v>
      </c>
      <c r="B954" s="5" t="s">
        <v>312</v>
      </c>
      <c r="C954" s="5" t="s">
        <v>135</v>
      </c>
      <c r="D954" s="5" t="s">
        <v>174</v>
      </c>
      <c r="E954" s="5" t="s">
        <v>133</v>
      </c>
      <c r="F954" s="5" t="s">
        <v>311</v>
      </c>
      <c r="G954" s="5">
        <v>749</v>
      </c>
      <c r="H954" s="5">
        <v>2998</v>
      </c>
      <c r="I954" s="5" t="s">
        <v>310</v>
      </c>
      <c r="J954" s="5" t="s">
        <v>171</v>
      </c>
      <c r="K954" s="5">
        <v>4.0999999999999996</v>
      </c>
      <c r="L954" s="5">
        <v>833</v>
      </c>
      <c r="M954" s="5">
        <v>0.75</v>
      </c>
      <c r="N954" s="5">
        <v>1493.337491012077</v>
      </c>
      <c r="O954" s="5">
        <v>749</v>
      </c>
      <c r="P954" s="5" t="s">
        <v>171</v>
      </c>
      <c r="Q954" s="5" t="s">
        <v>55</v>
      </c>
      <c r="R954" s="5" t="s">
        <v>129</v>
      </c>
      <c r="S954" s="7" t="s">
        <v>313</v>
      </c>
    </row>
    <row r="955" spans="1:19" x14ac:dyDescent="0.35">
      <c r="A955" s="6">
        <v>14489524</v>
      </c>
      <c r="B955" s="5" t="s">
        <v>308</v>
      </c>
      <c r="C955" s="5" t="s">
        <v>135</v>
      </c>
      <c r="D955" s="5" t="s">
        <v>168</v>
      </c>
      <c r="E955" s="5" t="s">
        <v>133</v>
      </c>
      <c r="F955" s="5" t="s">
        <v>307</v>
      </c>
      <c r="G955" s="5">
        <v>1295</v>
      </c>
      <c r="H955" s="5">
        <v>3599</v>
      </c>
      <c r="I955" s="5" t="s">
        <v>306</v>
      </c>
      <c r="J955" s="5" t="s">
        <v>150</v>
      </c>
      <c r="K955" s="5">
        <v>3.9</v>
      </c>
      <c r="L955" s="5">
        <v>833</v>
      </c>
      <c r="M955" s="5">
        <v>0.64</v>
      </c>
      <c r="N955" s="5">
        <v>1493.337491012077</v>
      </c>
      <c r="O955" s="5">
        <v>1295</v>
      </c>
      <c r="P955" s="5" t="s">
        <v>150</v>
      </c>
      <c r="Q955" s="5" t="s">
        <v>55</v>
      </c>
      <c r="R955" s="5" t="s">
        <v>129</v>
      </c>
      <c r="S955" s="7" t="s">
        <v>309</v>
      </c>
    </row>
    <row r="956" spans="1:19" x14ac:dyDescent="0.35">
      <c r="A956" s="6">
        <v>13961906</v>
      </c>
      <c r="B956" s="5" t="s">
        <v>281</v>
      </c>
      <c r="C956" s="5" t="s">
        <v>189</v>
      </c>
      <c r="D956" s="5" t="s">
        <v>199</v>
      </c>
      <c r="E956" s="5" t="s">
        <v>140</v>
      </c>
      <c r="F956" s="5" t="s">
        <v>304</v>
      </c>
      <c r="G956" s="5">
        <v>659</v>
      </c>
      <c r="H956" s="5">
        <v>1499</v>
      </c>
      <c r="I956" s="5" t="s">
        <v>172</v>
      </c>
      <c r="J956" s="5" t="s">
        <v>212</v>
      </c>
      <c r="K956" s="5">
        <v>4.0999999999999996</v>
      </c>
      <c r="L956" s="5">
        <v>832</v>
      </c>
      <c r="M956" s="5">
        <v>0.56000000000000005</v>
      </c>
      <c r="N956" s="5">
        <v>1351.2078667815099</v>
      </c>
      <c r="O956" s="5">
        <v>659</v>
      </c>
      <c r="P956" s="5" t="s">
        <v>212</v>
      </c>
      <c r="Q956" s="5" t="s">
        <v>55</v>
      </c>
      <c r="R956" s="5" t="s">
        <v>129</v>
      </c>
      <c r="S956" s="7" t="s">
        <v>305</v>
      </c>
    </row>
    <row r="957" spans="1:19" x14ac:dyDescent="0.35">
      <c r="A957" s="6">
        <v>10384141</v>
      </c>
      <c r="B957" s="5" t="s">
        <v>302</v>
      </c>
      <c r="C957" s="5" t="s">
        <v>135</v>
      </c>
      <c r="D957" s="5" t="s">
        <v>168</v>
      </c>
      <c r="E957" s="5" t="s">
        <v>140</v>
      </c>
      <c r="F957" s="5" t="s">
        <v>301</v>
      </c>
      <c r="G957" s="5">
        <v>1149</v>
      </c>
      <c r="H957" s="5">
        <v>2299</v>
      </c>
      <c r="I957" s="5" t="s">
        <v>209</v>
      </c>
      <c r="J957" s="5" t="s">
        <v>150</v>
      </c>
      <c r="K957" s="5">
        <v>4.3</v>
      </c>
      <c r="L957" s="5">
        <v>832</v>
      </c>
      <c r="M957" s="5">
        <v>0.5</v>
      </c>
      <c r="N957" s="5">
        <v>1493.337491012077</v>
      </c>
      <c r="O957" s="5">
        <v>1149</v>
      </c>
      <c r="P957" s="5" t="s">
        <v>150</v>
      </c>
      <c r="Q957" s="5" t="s">
        <v>57</v>
      </c>
      <c r="R957" s="5" t="s">
        <v>129</v>
      </c>
      <c r="S957" s="7" t="s">
        <v>303</v>
      </c>
    </row>
    <row r="958" spans="1:19" x14ac:dyDescent="0.35">
      <c r="A958" s="6">
        <v>2339460</v>
      </c>
      <c r="B958" s="5" t="s">
        <v>183</v>
      </c>
      <c r="C958" s="5" t="s">
        <v>142</v>
      </c>
      <c r="D958" s="5" t="s">
        <v>77</v>
      </c>
      <c r="E958" s="5" t="s">
        <v>140</v>
      </c>
      <c r="F958" s="5" t="s">
        <v>299</v>
      </c>
      <c r="G958" s="5">
        <v>699</v>
      </c>
      <c r="H958" s="5">
        <v>1399</v>
      </c>
      <c r="I958" s="5" t="s">
        <v>209</v>
      </c>
      <c r="J958" s="5" t="s">
        <v>150</v>
      </c>
      <c r="K958" s="5">
        <v>4</v>
      </c>
      <c r="L958" s="5">
        <v>832</v>
      </c>
      <c r="M958" s="5">
        <v>0.5</v>
      </c>
      <c r="N958" s="5">
        <v>1138.6340612208289</v>
      </c>
      <c r="O958" s="5">
        <v>699</v>
      </c>
      <c r="P958" s="5" t="s">
        <v>150</v>
      </c>
      <c r="Q958" s="5" t="s">
        <v>57</v>
      </c>
      <c r="R958" s="5" t="s">
        <v>129</v>
      </c>
      <c r="S958" s="7" t="s">
        <v>300</v>
      </c>
    </row>
    <row r="959" spans="1:19" x14ac:dyDescent="0.35">
      <c r="A959" s="6">
        <v>9072709</v>
      </c>
      <c r="B959" s="5" t="s">
        <v>136</v>
      </c>
      <c r="C959" s="5" t="s">
        <v>235</v>
      </c>
      <c r="D959" s="5" t="s">
        <v>162</v>
      </c>
      <c r="E959" s="5" t="s">
        <v>133</v>
      </c>
      <c r="F959" s="5" t="s">
        <v>297</v>
      </c>
      <c r="G959" s="5">
        <v>999</v>
      </c>
      <c r="H959" s="5">
        <v>1999</v>
      </c>
      <c r="I959" s="5" t="s">
        <v>209</v>
      </c>
      <c r="J959" s="5" t="s">
        <v>296</v>
      </c>
      <c r="K959" s="5">
        <v>4.3</v>
      </c>
      <c r="L959" s="5">
        <v>832</v>
      </c>
      <c r="M959" s="5">
        <v>0.5</v>
      </c>
      <c r="N959" s="5">
        <v>923.69459774582197</v>
      </c>
      <c r="O959" s="5">
        <v>999</v>
      </c>
      <c r="P959" s="5" t="s">
        <v>296</v>
      </c>
      <c r="Q959" s="5" t="s">
        <v>57</v>
      </c>
      <c r="R959" s="5" t="s">
        <v>129</v>
      </c>
      <c r="S959" s="7" t="s">
        <v>298</v>
      </c>
    </row>
    <row r="960" spans="1:19" x14ac:dyDescent="0.35">
      <c r="A960" s="6">
        <v>11998924</v>
      </c>
      <c r="B960" s="5" t="s">
        <v>152</v>
      </c>
      <c r="C960" s="5" t="s">
        <v>189</v>
      </c>
      <c r="D960" s="5" t="s">
        <v>199</v>
      </c>
      <c r="E960" s="5" t="s">
        <v>140</v>
      </c>
      <c r="F960" s="5" t="s">
        <v>294</v>
      </c>
      <c r="G960" s="5">
        <v>759</v>
      </c>
      <c r="H960" s="5">
        <v>1899</v>
      </c>
      <c r="I960" s="5" t="s">
        <v>223</v>
      </c>
      <c r="J960" s="5" t="s">
        <v>150</v>
      </c>
      <c r="K960" s="5">
        <v>4</v>
      </c>
      <c r="L960" s="5">
        <v>831</v>
      </c>
      <c r="M960" s="5">
        <v>0.6</v>
      </c>
      <c r="N960" s="5">
        <v>1351.2078667815099</v>
      </c>
      <c r="O960" s="5">
        <v>759</v>
      </c>
      <c r="P960" s="5" t="s">
        <v>150</v>
      </c>
      <c r="Q960" s="5" t="s">
        <v>55</v>
      </c>
      <c r="R960" s="5" t="s">
        <v>129</v>
      </c>
      <c r="S960" s="7" t="s">
        <v>295</v>
      </c>
    </row>
    <row r="961" spans="1:19" x14ac:dyDescent="0.35">
      <c r="A961" s="6">
        <v>6825162</v>
      </c>
      <c r="B961" s="5" t="s">
        <v>175</v>
      </c>
      <c r="C961" s="5" t="s">
        <v>135</v>
      </c>
      <c r="D961" s="5" t="s">
        <v>174</v>
      </c>
      <c r="E961" s="5" t="s">
        <v>133</v>
      </c>
      <c r="F961" s="5" t="s">
        <v>292</v>
      </c>
      <c r="G961" s="5">
        <v>1199</v>
      </c>
      <c r="H961" s="5">
        <v>3999</v>
      </c>
      <c r="I961" s="5" t="s">
        <v>283</v>
      </c>
      <c r="J961" s="5" t="s">
        <v>171</v>
      </c>
      <c r="K961" s="5">
        <v>4.3</v>
      </c>
      <c r="L961" s="5">
        <v>831</v>
      </c>
      <c r="M961" s="5">
        <v>0.7</v>
      </c>
      <c r="N961" s="5">
        <v>1493.337491012077</v>
      </c>
      <c r="O961" s="5">
        <v>1199</v>
      </c>
      <c r="P961" s="5" t="s">
        <v>171</v>
      </c>
      <c r="Q961" s="5" t="s">
        <v>55</v>
      </c>
      <c r="R961" s="5" t="s">
        <v>129</v>
      </c>
      <c r="S961" s="7" t="s">
        <v>293</v>
      </c>
    </row>
    <row r="962" spans="1:19" x14ac:dyDescent="0.35">
      <c r="A962" s="6">
        <v>13914244</v>
      </c>
      <c r="B962" s="5" t="s">
        <v>239</v>
      </c>
      <c r="C962" s="5" t="s">
        <v>235</v>
      </c>
      <c r="D962" s="5" t="s">
        <v>228</v>
      </c>
      <c r="E962" s="5" t="s">
        <v>133</v>
      </c>
      <c r="F962" s="5" t="s">
        <v>290</v>
      </c>
      <c r="G962" s="5">
        <v>639</v>
      </c>
      <c r="H962" s="5">
        <v>1599</v>
      </c>
      <c r="I962" s="5" t="s">
        <v>223</v>
      </c>
      <c r="J962" s="5" t="s">
        <v>237</v>
      </c>
      <c r="K962" s="5">
        <v>3.9</v>
      </c>
      <c r="L962" s="5">
        <v>831</v>
      </c>
      <c r="M962" s="5">
        <v>0.6</v>
      </c>
      <c r="N962" s="5">
        <v>923.69459774582197</v>
      </c>
      <c r="O962" s="5">
        <v>639</v>
      </c>
      <c r="P962" s="5" t="s">
        <v>237</v>
      </c>
      <c r="Q962" s="5" t="s">
        <v>55</v>
      </c>
      <c r="R962" s="5" t="s">
        <v>129</v>
      </c>
      <c r="S962" s="7" t="s">
        <v>291</v>
      </c>
    </row>
    <row r="963" spans="1:19" x14ac:dyDescent="0.35">
      <c r="A963" s="6">
        <v>17385582</v>
      </c>
      <c r="B963" s="5" t="s">
        <v>250</v>
      </c>
      <c r="C963" s="5" t="s">
        <v>163</v>
      </c>
      <c r="D963" s="5" t="s">
        <v>77</v>
      </c>
      <c r="E963" s="5" t="s">
        <v>133</v>
      </c>
      <c r="F963" s="5" t="s">
        <v>288</v>
      </c>
      <c r="G963" s="5"/>
      <c r="H963" s="5">
        <v>1398</v>
      </c>
      <c r="I963" s="5" t="s">
        <v>209</v>
      </c>
      <c r="J963" s="5" t="s">
        <v>192</v>
      </c>
      <c r="K963" s="5">
        <v>4.0999999999999996</v>
      </c>
      <c r="L963" s="5">
        <v>831</v>
      </c>
      <c r="M963" s="5">
        <v>0.5</v>
      </c>
      <c r="N963" s="5">
        <v>1790.0851063829789</v>
      </c>
      <c r="O963" s="5"/>
      <c r="P963" s="5" t="s">
        <v>192</v>
      </c>
      <c r="Q963" s="5" t="s">
        <v>57</v>
      </c>
      <c r="R963" s="5" t="s">
        <v>129</v>
      </c>
      <c r="S963" s="7" t="s">
        <v>289</v>
      </c>
    </row>
    <row r="964" spans="1:19" x14ac:dyDescent="0.35">
      <c r="A964" s="6">
        <v>2521376</v>
      </c>
      <c r="B964" s="5" t="s">
        <v>200</v>
      </c>
      <c r="C964" s="5" t="s">
        <v>163</v>
      </c>
      <c r="D964" s="5" t="s">
        <v>141</v>
      </c>
      <c r="E964" s="5" t="s">
        <v>133</v>
      </c>
      <c r="F964" s="5" t="s">
        <v>286</v>
      </c>
      <c r="G964" s="5"/>
      <c r="H964" s="5">
        <v>1399</v>
      </c>
      <c r="I964" s="5" t="s">
        <v>223</v>
      </c>
      <c r="J964" s="5" t="s">
        <v>192</v>
      </c>
      <c r="K964" s="5">
        <v>4.3</v>
      </c>
      <c r="L964" s="5">
        <v>831</v>
      </c>
      <c r="M964" s="5">
        <v>0.6</v>
      </c>
      <c r="N964" s="5">
        <v>1790.0851063829789</v>
      </c>
      <c r="O964" s="5"/>
      <c r="P964" s="5" t="s">
        <v>192</v>
      </c>
      <c r="Q964" s="5" t="s">
        <v>55</v>
      </c>
      <c r="R964" s="5" t="s">
        <v>129</v>
      </c>
      <c r="S964" s="7" t="s">
        <v>287</v>
      </c>
    </row>
    <row r="965" spans="1:19" x14ac:dyDescent="0.35">
      <c r="A965" s="6">
        <v>2468600</v>
      </c>
      <c r="B965" s="5" t="s">
        <v>239</v>
      </c>
      <c r="C965" s="5" t="s">
        <v>163</v>
      </c>
      <c r="D965" s="5" t="s">
        <v>194</v>
      </c>
      <c r="E965" s="5" t="s">
        <v>133</v>
      </c>
      <c r="F965" s="5" t="s">
        <v>284</v>
      </c>
      <c r="G965" s="5"/>
      <c r="H965" s="5">
        <v>2199</v>
      </c>
      <c r="I965" s="5" t="s">
        <v>283</v>
      </c>
      <c r="J965" s="5" t="s">
        <v>237</v>
      </c>
      <c r="K965" s="5">
        <v>4</v>
      </c>
      <c r="L965" s="5">
        <v>831</v>
      </c>
      <c r="M965" s="5">
        <v>0.7</v>
      </c>
      <c r="N965" s="5">
        <v>1790.0851063829789</v>
      </c>
      <c r="O965" s="5"/>
      <c r="P965" s="5" t="s">
        <v>237</v>
      </c>
      <c r="Q965" s="5" t="s">
        <v>55</v>
      </c>
      <c r="R965" s="5" t="s">
        <v>129</v>
      </c>
      <c r="S965" s="7" t="s">
        <v>285</v>
      </c>
    </row>
    <row r="966" spans="1:19" x14ac:dyDescent="0.35">
      <c r="A966" s="6">
        <v>8613929</v>
      </c>
      <c r="B966" s="5" t="s">
        <v>281</v>
      </c>
      <c r="C966" s="5" t="s">
        <v>156</v>
      </c>
      <c r="D966" s="5" t="s">
        <v>155</v>
      </c>
      <c r="E966" s="5" t="s">
        <v>140</v>
      </c>
      <c r="F966" s="5" t="s">
        <v>280</v>
      </c>
      <c r="G966" s="5">
        <v>489</v>
      </c>
      <c r="H966" s="5">
        <v>999</v>
      </c>
      <c r="I966" s="5" t="s">
        <v>279</v>
      </c>
      <c r="J966" s="5" t="s">
        <v>212</v>
      </c>
      <c r="K966" s="5">
        <v>3.9</v>
      </c>
      <c r="L966" s="5">
        <v>830</v>
      </c>
      <c r="M966" s="5">
        <v>0.51</v>
      </c>
      <c r="N966" s="5">
        <v>691.83976143141149</v>
      </c>
      <c r="O966" s="5">
        <v>489</v>
      </c>
      <c r="P966" s="5" t="s">
        <v>212</v>
      </c>
      <c r="Q966" s="5" t="s">
        <v>55</v>
      </c>
      <c r="R966" s="5" t="s">
        <v>129</v>
      </c>
      <c r="S966" s="7" t="s">
        <v>282</v>
      </c>
    </row>
    <row r="967" spans="1:19" x14ac:dyDescent="0.35">
      <c r="A967" s="6">
        <v>10740920</v>
      </c>
      <c r="B967" s="5" t="s">
        <v>250</v>
      </c>
      <c r="C967" s="5" t="s">
        <v>142</v>
      </c>
      <c r="D967" s="5" t="s">
        <v>141</v>
      </c>
      <c r="E967" s="5" t="s">
        <v>140</v>
      </c>
      <c r="F967" s="5" t="s">
        <v>277</v>
      </c>
      <c r="G967" s="5"/>
      <c r="H967" s="5">
        <v>1499</v>
      </c>
      <c r="I967" s="5"/>
      <c r="J967" s="5" t="s">
        <v>276</v>
      </c>
      <c r="K967" s="5">
        <v>4.2</v>
      </c>
      <c r="L967" s="5">
        <v>830</v>
      </c>
      <c r="M967" s="5"/>
      <c r="N967" s="5">
        <v>1138.6340612208289</v>
      </c>
      <c r="O967" s="5">
        <v>1138.6340612208289</v>
      </c>
      <c r="P967" s="5" t="s">
        <v>276</v>
      </c>
      <c r="Q967" s="5" t="s">
        <v>57</v>
      </c>
      <c r="R967" s="5" t="s">
        <v>129</v>
      </c>
      <c r="S967" s="7" t="s">
        <v>278</v>
      </c>
    </row>
    <row r="968" spans="1:19" x14ac:dyDescent="0.35">
      <c r="A968" s="6">
        <v>762418</v>
      </c>
      <c r="B968" s="5" t="s">
        <v>274</v>
      </c>
      <c r="C968" s="5" t="s">
        <v>273</v>
      </c>
      <c r="D968" s="5" t="s">
        <v>272</v>
      </c>
      <c r="E968" s="5" t="s">
        <v>133</v>
      </c>
      <c r="F968" s="5" t="s">
        <v>271</v>
      </c>
      <c r="G968" s="5">
        <v>844</v>
      </c>
      <c r="H968" s="5">
        <v>938</v>
      </c>
      <c r="I968" s="5" t="s">
        <v>270</v>
      </c>
      <c r="J968" s="5" t="s">
        <v>269</v>
      </c>
      <c r="K968" s="5">
        <v>4.2</v>
      </c>
      <c r="L968" s="5">
        <v>830</v>
      </c>
      <c r="M968" s="5">
        <v>0.1</v>
      </c>
      <c r="N968" s="5">
        <v>811.90284167198604</v>
      </c>
      <c r="O968" s="5">
        <v>844</v>
      </c>
      <c r="P968" s="5" t="s">
        <v>269</v>
      </c>
      <c r="Q968" s="5" t="s">
        <v>57</v>
      </c>
      <c r="R968" s="5" t="s">
        <v>129</v>
      </c>
      <c r="S968" s="7" t="s">
        <v>275</v>
      </c>
    </row>
    <row r="969" spans="1:19" x14ac:dyDescent="0.35">
      <c r="A969" s="6">
        <v>12530340</v>
      </c>
      <c r="B969" s="5" t="s">
        <v>143</v>
      </c>
      <c r="C969" s="5" t="s">
        <v>235</v>
      </c>
      <c r="D969" s="5" t="s">
        <v>168</v>
      </c>
      <c r="E969" s="5" t="s">
        <v>133</v>
      </c>
      <c r="F969" s="5" t="s">
        <v>267</v>
      </c>
      <c r="G969" s="5">
        <v>389</v>
      </c>
      <c r="H969" s="5">
        <v>1299</v>
      </c>
      <c r="I969" s="5" t="s">
        <v>233</v>
      </c>
      <c r="J969" s="5" t="s">
        <v>177</v>
      </c>
      <c r="K969" s="5">
        <v>4</v>
      </c>
      <c r="L969" s="5">
        <v>830</v>
      </c>
      <c r="M969" s="5">
        <v>0.7</v>
      </c>
      <c r="N969" s="5">
        <v>923.69459774582197</v>
      </c>
      <c r="O969" s="5">
        <v>389</v>
      </c>
      <c r="P969" s="5" t="s">
        <v>177</v>
      </c>
      <c r="Q969" s="5" t="s">
        <v>55</v>
      </c>
      <c r="R969" s="5" t="s">
        <v>129</v>
      </c>
      <c r="S969" s="7" t="s">
        <v>268</v>
      </c>
    </row>
    <row r="970" spans="1:19" x14ac:dyDescent="0.35">
      <c r="A970" s="6">
        <v>11991302</v>
      </c>
      <c r="B970" s="5" t="s">
        <v>250</v>
      </c>
      <c r="C970" s="5" t="s">
        <v>163</v>
      </c>
      <c r="D970" s="5" t="s">
        <v>215</v>
      </c>
      <c r="E970" s="5" t="s">
        <v>133</v>
      </c>
      <c r="F970" s="5" t="s">
        <v>265</v>
      </c>
      <c r="G970" s="5"/>
      <c r="H970" s="5">
        <v>1199</v>
      </c>
      <c r="I970" s="5" t="s">
        <v>197</v>
      </c>
      <c r="J970" s="5" t="s">
        <v>196</v>
      </c>
      <c r="K970" s="5">
        <v>4.3</v>
      </c>
      <c r="L970" s="5">
        <v>830</v>
      </c>
      <c r="M970" s="5">
        <v>0.65</v>
      </c>
      <c r="N970" s="5">
        <v>1790.0851063829789</v>
      </c>
      <c r="O970" s="5"/>
      <c r="P970" s="5" t="s">
        <v>196</v>
      </c>
      <c r="Q970" s="5" t="s">
        <v>55</v>
      </c>
      <c r="R970" s="5" t="s">
        <v>129</v>
      </c>
      <c r="S970" s="7" t="s">
        <v>266</v>
      </c>
    </row>
    <row r="971" spans="1:19" x14ac:dyDescent="0.35">
      <c r="A971" s="6">
        <v>17384818</v>
      </c>
      <c r="B971" s="5" t="s">
        <v>250</v>
      </c>
      <c r="C971" s="5" t="s">
        <v>163</v>
      </c>
      <c r="D971" s="5" t="s">
        <v>77</v>
      </c>
      <c r="E971" s="5" t="s">
        <v>133</v>
      </c>
      <c r="F971" s="5" t="s">
        <v>263</v>
      </c>
      <c r="G971" s="5"/>
      <c r="H971" s="5">
        <v>1398</v>
      </c>
      <c r="I971" s="5" t="s">
        <v>209</v>
      </c>
      <c r="J971" s="5" t="s">
        <v>192</v>
      </c>
      <c r="K971" s="5">
        <v>4.3</v>
      </c>
      <c r="L971" s="5">
        <v>830</v>
      </c>
      <c r="M971" s="5">
        <v>0.5</v>
      </c>
      <c r="N971" s="5">
        <v>1790.0851063829789</v>
      </c>
      <c r="O971" s="5"/>
      <c r="P971" s="5" t="s">
        <v>192</v>
      </c>
      <c r="Q971" s="5" t="s">
        <v>57</v>
      </c>
      <c r="R971" s="5" t="s">
        <v>129</v>
      </c>
      <c r="S971" s="7" t="s">
        <v>264</v>
      </c>
    </row>
    <row r="972" spans="1:19" x14ac:dyDescent="0.35">
      <c r="A972" s="6">
        <v>1731802</v>
      </c>
      <c r="B972" s="5" t="s">
        <v>261</v>
      </c>
      <c r="C972" s="5" t="s">
        <v>163</v>
      </c>
      <c r="D972" s="5" t="s">
        <v>194</v>
      </c>
      <c r="E972" s="5" t="s">
        <v>133</v>
      </c>
      <c r="F972" s="5" t="s">
        <v>260</v>
      </c>
      <c r="G972" s="5"/>
      <c r="H972" s="5">
        <v>1499</v>
      </c>
      <c r="I972" s="5" t="s">
        <v>223</v>
      </c>
      <c r="J972" s="5" t="s">
        <v>192</v>
      </c>
      <c r="K972" s="5">
        <v>4</v>
      </c>
      <c r="L972" s="5">
        <v>830</v>
      </c>
      <c r="M972" s="5">
        <v>0.6</v>
      </c>
      <c r="N972" s="5">
        <v>1790.0851063829789</v>
      </c>
      <c r="O972" s="5"/>
      <c r="P972" s="5" t="s">
        <v>192</v>
      </c>
      <c r="Q972" s="5" t="s">
        <v>55</v>
      </c>
      <c r="R972" s="5" t="s">
        <v>129</v>
      </c>
      <c r="S972" s="7" t="s">
        <v>262</v>
      </c>
    </row>
    <row r="973" spans="1:19" x14ac:dyDescent="0.35">
      <c r="A973" s="6">
        <v>17524582</v>
      </c>
      <c r="B973" s="5" t="s">
        <v>225</v>
      </c>
      <c r="C973" s="5" t="s">
        <v>163</v>
      </c>
      <c r="D973" s="5" t="s">
        <v>77</v>
      </c>
      <c r="E973" s="5" t="s">
        <v>133</v>
      </c>
      <c r="F973" s="5" t="s">
        <v>258</v>
      </c>
      <c r="G973" s="5"/>
      <c r="H973" s="5">
        <v>1598</v>
      </c>
      <c r="I973" s="5" t="s">
        <v>209</v>
      </c>
      <c r="J973" s="5" t="s">
        <v>255</v>
      </c>
      <c r="K973" s="5">
        <v>4.2</v>
      </c>
      <c r="L973" s="5">
        <v>830</v>
      </c>
      <c r="M973" s="5">
        <v>0.5</v>
      </c>
      <c r="N973" s="5">
        <v>1790.0851063829789</v>
      </c>
      <c r="O973" s="5"/>
      <c r="P973" s="5" t="s">
        <v>255</v>
      </c>
      <c r="Q973" s="5" t="s">
        <v>57</v>
      </c>
      <c r="R973" s="5" t="s">
        <v>129</v>
      </c>
      <c r="S973" s="7" t="s">
        <v>259</v>
      </c>
    </row>
    <row r="974" spans="1:19" x14ac:dyDescent="0.35">
      <c r="A974" s="6">
        <v>17382864</v>
      </c>
      <c r="B974" s="5" t="s">
        <v>250</v>
      </c>
      <c r="C974" s="5" t="s">
        <v>163</v>
      </c>
      <c r="D974" s="5" t="s">
        <v>77</v>
      </c>
      <c r="E974" s="5" t="s">
        <v>133</v>
      </c>
      <c r="F974" s="5" t="s">
        <v>256</v>
      </c>
      <c r="G974" s="5"/>
      <c r="H974" s="5">
        <v>1598</v>
      </c>
      <c r="I974" s="5" t="s">
        <v>209</v>
      </c>
      <c r="J974" s="5" t="s">
        <v>255</v>
      </c>
      <c r="K974" s="5">
        <v>4.3</v>
      </c>
      <c r="L974" s="5">
        <v>830</v>
      </c>
      <c r="M974" s="5">
        <v>0.5</v>
      </c>
      <c r="N974" s="5">
        <v>1790.0851063829789</v>
      </c>
      <c r="O974" s="5"/>
      <c r="P974" s="5" t="s">
        <v>255</v>
      </c>
      <c r="Q974" s="5" t="s">
        <v>57</v>
      </c>
      <c r="R974" s="5" t="s">
        <v>129</v>
      </c>
      <c r="S974" s="7" t="s">
        <v>257</v>
      </c>
    </row>
    <row r="975" spans="1:19" x14ac:dyDescent="0.35">
      <c r="A975" s="6">
        <v>4653850</v>
      </c>
      <c r="B975" s="5" t="s">
        <v>152</v>
      </c>
      <c r="C975" s="5" t="s">
        <v>163</v>
      </c>
      <c r="D975" s="5" t="s">
        <v>215</v>
      </c>
      <c r="E975" s="5" t="s">
        <v>133</v>
      </c>
      <c r="F975" s="5" t="s">
        <v>253</v>
      </c>
      <c r="G975" s="5"/>
      <c r="H975" s="5">
        <v>1999</v>
      </c>
      <c r="I975" s="5" t="s">
        <v>252</v>
      </c>
      <c r="J975" s="5" t="s">
        <v>196</v>
      </c>
      <c r="K975" s="5">
        <v>4.3</v>
      </c>
      <c r="L975" s="5">
        <v>830</v>
      </c>
      <c r="M975" s="5">
        <v>0.6</v>
      </c>
      <c r="N975" s="5">
        <v>1790.0851063829789</v>
      </c>
      <c r="O975" s="5"/>
      <c r="P975" s="5" t="s">
        <v>196</v>
      </c>
      <c r="Q975" s="5" t="s">
        <v>55</v>
      </c>
      <c r="R975" s="5" t="s">
        <v>129</v>
      </c>
      <c r="S975" s="7" t="s">
        <v>254</v>
      </c>
    </row>
    <row r="976" spans="1:19" x14ac:dyDescent="0.35">
      <c r="A976" s="6">
        <v>13594612</v>
      </c>
      <c r="B976" s="5" t="s">
        <v>250</v>
      </c>
      <c r="C976" s="5" t="s">
        <v>163</v>
      </c>
      <c r="D976" s="5" t="s">
        <v>77</v>
      </c>
      <c r="E976" s="5" t="s">
        <v>133</v>
      </c>
      <c r="F976" s="5" t="s">
        <v>249</v>
      </c>
      <c r="G976" s="5"/>
      <c r="H976" s="5">
        <v>499</v>
      </c>
      <c r="I976" s="5" t="s">
        <v>205</v>
      </c>
      <c r="J976" s="5" t="s">
        <v>192</v>
      </c>
      <c r="K976" s="5">
        <v>4.3</v>
      </c>
      <c r="L976" s="5">
        <v>830</v>
      </c>
      <c r="M976" s="5">
        <v>0.35</v>
      </c>
      <c r="N976" s="5">
        <v>1790.0851063829789</v>
      </c>
      <c r="O976" s="5"/>
      <c r="P976" s="5" t="s">
        <v>192</v>
      </c>
      <c r="Q976" s="5" t="s">
        <v>57</v>
      </c>
      <c r="R976" s="5" t="s">
        <v>129</v>
      </c>
      <c r="S976" s="7" t="s">
        <v>251</v>
      </c>
    </row>
    <row r="977" spans="1:19" x14ac:dyDescent="0.35">
      <c r="A977" s="6">
        <v>11759894</v>
      </c>
      <c r="B977" s="5" t="s">
        <v>247</v>
      </c>
      <c r="C977" s="5" t="s">
        <v>135</v>
      </c>
      <c r="D977" s="5" t="s">
        <v>246</v>
      </c>
      <c r="E977" s="5" t="s">
        <v>133</v>
      </c>
      <c r="F977" s="5" t="s">
        <v>245</v>
      </c>
      <c r="G977" s="5">
        <v>548</v>
      </c>
      <c r="H977" s="5">
        <v>899</v>
      </c>
      <c r="I977" s="5" t="s">
        <v>244</v>
      </c>
      <c r="J977" s="5" t="s">
        <v>243</v>
      </c>
      <c r="K977" s="5">
        <v>4.2</v>
      </c>
      <c r="L977" s="5">
        <v>829</v>
      </c>
      <c r="M977" s="5">
        <v>0.39</v>
      </c>
      <c r="N977" s="5">
        <v>1493.337491012077</v>
      </c>
      <c r="O977" s="5">
        <v>548</v>
      </c>
      <c r="P977" s="5" t="s">
        <v>243</v>
      </c>
      <c r="Q977" s="5" t="s">
        <v>57</v>
      </c>
      <c r="R977" s="5" t="s">
        <v>129</v>
      </c>
      <c r="S977" s="7" t="s">
        <v>248</v>
      </c>
    </row>
    <row r="978" spans="1:19" x14ac:dyDescent="0.35">
      <c r="A978" s="6">
        <v>12150614</v>
      </c>
      <c r="B978" s="5" t="s">
        <v>239</v>
      </c>
      <c r="C978" s="5" t="s">
        <v>235</v>
      </c>
      <c r="D978" s="5" t="s">
        <v>194</v>
      </c>
      <c r="E978" s="5" t="s">
        <v>133</v>
      </c>
      <c r="F978" s="5" t="s">
        <v>241</v>
      </c>
      <c r="G978" s="5">
        <v>559</v>
      </c>
      <c r="H978" s="5">
        <v>1599</v>
      </c>
      <c r="I978" s="5" t="s">
        <v>197</v>
      </c>
      <c r="J978" s="5" t="s">
        <v>237</v>
      </c>
      <c r="K978" s="5">
        <v>4.4000000000000004</v>
      </c>
      <c r="L978" s="5">
        <v>829</v>
      </c>
      <c r="M978" s="5">
        <v>0.65</v>
      </c>
      <c r="N978" s="5">
        <v>923.69459774582197</v>
      </c>
      <c r="O978" s="5">
        <v>559</v>
      </c>
      <c r="P978" s="5" t="s">
        <v>237</v>
      </c>
      <c r="Q978" s="5" t="s">
        <v>55</v>
      </c>
      <c r="R978" s="5" t="s">
        <v>129</v>
      </c>
      <c r="S978" s="7" t="s">
        <v>242</v>
      </c>
    </row>
    <row r="979" spans="1:19" x14ac:dyDescent="0.35">
      <c r="A979" s="6">
        <v>12150618</v>
      </c>
      <c r="B979" s="5" t="s">
        <v>239</v>
      </c>
      <c r="C979" s="5" t="s">
        <v>235</v>
      </c>
      <c r="D979" s="5" t="s">
        <v>194</v>
      </c>
      <c r="E979" s="5" t="s">
        <v>133</v>
      </c>
      <c r="F979" s="5" t="s">
        <v>238</v>
      </c>
      <c r="G979" s="5">
        <v>607</v>
      </c>
      <c r="H979" s="5">
        <v>1599</v>
      </c>
      <c r="I979" s="5" t="s">
        <v>230</v>
      </c>
      <c r="J979" s="5" t="s">
        <v>237</v>
      </c>
      <c r="K979" s="5">
        <v>4.3</v>
      </c>
      <c r="L979" s="5">
        <v>829</v>
      </c>
      <c r="M979" s="5">
        <v>0.62</v>
      </c>
      <c r="N979" s="5">
        <v>923.69459774582197</v>
      </c>
      <c r="O979" s="5">
        <v>607</v>
      </c>
      <c r="P979" s="5" t="s">
        <v>237</v>
      </c>
      <c r="Q979" s="5" t="s">
        <v>55</v>
      </c>
      <c r="R979" s="5" t="s">
        <v>129</v>
      </c>
      <c r="S979" s="7" t="s">
        <v>240</v>
      </c>
    </row>
    <row r="980" spans="1:19" x14ac:dyDescent="0.35">
      <c r="A980" s="6">
        <v>12844212</v>
      </c>
      <c r="B980" s="5" t="s">
        <v>143</v>
      </c>
      <c r="C980" s="5" t="s">
        <v>235</v>
      </c>
      <c r="D980" s="5" t="s">
        <v>168</v>
      </c>
      <c r="E980" s="5" t="s">
        <v>133</v>
      </c>
      <c r="F980" s="5" t="s">
        <v>234</v>
      </c>
      <c r="G980" s="5">
        <v>479</v>
      </c>
      <c r="H980" s="5">
        <v>1599</v>
      </c>
      <c r="I980" s="5" t="s">
        <v>233</v>
      </c>
      <c r="J980" s="5" t="s">
        <v>177</v>
      </c>
      <c r="K980" s="5">
        <v>4</v>
      </c>
      <c r="L980" s="5">
        <v>829</v>
      </c>
      <c r="M980" s="5">
        <v>0.7</v>
      </c>
      <c r="N980" s="5">
        <v>923.69459774582197</v>
      </c>
      <c r="O980" s="5">
        <v>479</v>
      </c>
      <c r="P980" s="5" t="s">
        <v>177</v>
      </c>
      <c r="Q980" s="5" t="s">
        <v>55</v>
      </c>
      <c r="R980" s="5" t="s">
        <v>129</v>
      </c>
      <c r="S980" s="7" t="s">
        <v>236</v>
      </c>
    </row>
    <row r="981" spans="1:19" x14ac:dyDescent="0.35">
      <c r="A981" s="6">
        <v>13275212</v>
      </c>
      <c r="B981" s="5" t="s">
        <v>164</v>
      </c>
      <c r="C981" s="5" t="s">
        <v>163</v>
      </c>
      <c r="D981" s="5" t="s">
        <v>134</v>
      </c>
      <c r="E981" s="5" t="s">
        <v>133</v>
      </c>
      <c r="F981" s="5" t="s">
        <v>231</v>
      </c>
      <c r="G981" s="5"/>
      <c r="H981" s="5">
        <v>1549</v>
      </c>
      <c r="I981" s="5" t="s">
        <v>230</v>
      </c>
      <c r="J981" s="5" t="s">
        <v>159</v>
      </c>
      <c r="K981" s="5">
        <v>4.2</v>
      </c>
      <c r="L981" s="5">
        <v>829</v>
      </c>
      <c r="M981" s="5">
        <v>0.62</v>
      </c>
      <c r="N981" s="5">
        <v>1790.0851063829789</v>
      </c>
      <c r="O981" s="5"/>
      <c r="P981" s="5" t="s">
        <v>159</v>
      </c>
      <c r="Q981" s="5" t="s">
        <v>55</v>
      </c>
      <c r="R981" s="5" t="s">
        <v>129</v>
      </c>
      <c r="S981" s="7" t="s">
        <v>232</v>
      </c>
    </row>
    <row r="982" spans="1:19" x14ac:dyDescent="0.35">
      <c r="A982" s="6">
        <v>11144172</v>
      </c>
      <c r="B982" s="5" t="s">
        <v>225</v>
      </c>
      <c r="C982" s="5" t="s">
        <v>163</v>
      </c>
      <c r="D982" s="5" t="s">
        <v>228</v>
      </c>
      <c r="E982" s="5" t="s">
        <v>133</v>
      </c>
      <c r="F982" s="5" t="s">
        <v>227</v>
      </c>
      <c r="G982" s="5"/>
      <c r="H982" s="5">
        <v>1999</v>
      </c>
      <c r="I982" s="5" t="s">
        <v>218</v>
      </c>
      <c r="J982" s="5" t="s">
        <v>192</v>
      </c>
      <c r="K982" s="5">
        <v>4.4000000000000004</v>
      </c>
      <c r="L982" s="5">
        <v>829</v>
      </c>
      <c r="M982" s="5">
        <v>0.3</v>
      </c>
      <c r="N982" s="5">
        <v>1790.0851063829789</v>
      </c>
      <c r="O982" s="5"/>
      <c r="P982" s="5" t="s">
        <v>192</v>
      </c>
      <c r="Q982" s="5" t="s">
        <v>57</v>
      </c>
      <c r="R982" s="5" t="s">
        <v>129</v>
      </c>
      <c r="S982" s="7" t="s">
        <v>229</v>
      </c>
    </row>
    <row r="983" spans="1:19" x14ac:dyDescent="0.35">
      <c r="A983" s="6">
        <v>9444915</v>
      </c>
      <c r="B983" s="5" t="s">
        <v>225</v>
      </c>
      <c r="C983" s="5" t="s">
        <v>163</v>
      </c>
      <c r="D983" s="5" t="s">
        <v>162</v>
      </c>
      <c r="E983" s="5" t="s">
        <v>133</v>
      </c>
      <c r="F983" s="5" t="s">
        <v>224</v>
      </c>
      <c r="G983" s="5"/>
      <c r="H983" s="5">
        <v>2199</v>
      </c>
      <c r="I983" s="5" t="s">
        <v>223</v>
      </c>
      <c r="J983" s="5" t="s">
        <v>222</v>
      </c>
      <c r="K983" s="5">
        <v>3.5</v>
      </c>
      <c r="L983" s="5">
        <v>829</v>
      </c>
      <c r="M983" s="5">
        <v>0.6</v>
      </c>
      <c r="N983" s="5">
        <v>1790.0851063829789</v>
      </c>
      <c r="O983" s="5"/>
      <c r="P983" s="5" t="s">
        <v>222</v>
      </c>
      <c r="Q983" s="5" t="s">
        <v>55</v>
      </c>
      <c r="R983" s="5" t="s">
        <v>129</v>
      </c>
      <c r="S983" s="7" t="s">
        <v>226</v>
      </c>
    </row>
    <row r="984" spans="1:19" x14ac:dyDescent="0.35">
      <c r="A984" s="6">
        <v>12402758</v>
      </c>
      <c r="B984" s="5" t="s">
        <v>183</v>
      </c>
      <c r="C984" s="5" t="s">
        <v>156</v>
      </c>
      <c r="D984" s="5" t="s">
        <v>220</v>
      </c>
      <c r="E984" s="5" t="s">
        <v>140</v>
      </c>
      <c r="F984" s="5" t="s">
        <v>219</v>
      </c>
      <c r="G984" s="5">
        <v>454</v>
      </c>
      <c r="H984" s="5">
        <v>649</v>
      </c>
      <c r="I984" s="5" t="s">
        <v>218</v>
      </c>
      <c r="J984" s="5" t="s">
        <v>171</v>
      </c>
      <c r="K984" s="5">
        <v>4.5</v>
      </c>
      <c r="L984" s="5">
        <v>828</v>
      </c>
      <c r="M984" s="5">
        <v>0.3</v>
      </c>
      <c r="N984" s="5">
        <v>691.83976143141149</v>
      </c>
      <c r="O984" s="5">
        <v>454</v>
      </c>
      <c r="P984" s="5" t="s">
        <v>171</v>
      </c>
      <c r="Q984" s="5" t="s">
        <v>57</v>
      </c>
      <c r="R984" s="5" t="s">
        <v>129</v>
      </c>
      <c r="S984" s="7" t="s">
        <v>221</v>
      </c>
    </row>
    <row r="985" spans="1:19" x14ac:dyDescent="0.35">
      <c r="A985" s="6">
        <v>10381423</v>
      </c>
      <c r="B985" s="5" t="s">
        <v>216</v>
      </c>
      <c r="C985" s="5" t="s">
        <v>142</v>
      </c>
      <c r="D985" s="5" t="s">
        <v>215</v>
      </c>
      <c r="E985" s="5" t="s">
        <v>140</v>
      </c>
      <c r="F985" s="5" t="s">
        <v>214</v>
      </c>
      <c r="G985" s="5">
        <v>730</v>
      </c>
      <c r="H985" s="5">
        <v>1699</v>
      </c>
      <c r="I985" s="5" t="s">
        <v>213</v>
      </c>
      <c r="J985" s="5" t="s">
        <v>212</v>
      </c>
      <c r="K985" s="5">
        <v>4.0999999999999996</v>
      </c>
      <c r="L985" s="5">
        <v>828</v>
      </c>
      <c r="M985" s="5">
        <v>0.56999999999999995</v>
      </c>
      <c r="N985" s="5">
        <v>1138.6340612208289</v>
      </c>
      <c r="O985" s="5">
        <v>730</v>
      </c>
      <c r="P985" s="5" t="s">
        <v>212</v>
      </c>
      <c r="Q985" s="5" t="s">
        <v>55</v>
      </c>
      <c r="R985" s="5" t="s">
        <v>129</v>
      </c>
      <c r="S985" s="7" t="s">
        <v>217</v>
      </c>
    </row>
    <row r="986" spans="1:19" x14ac:dyDescent="0.35">
      <c r="A986" s="6">
        <v>1729361</v>
      </c>
      <c r="B986" s="5" t="s">
        <v>183</v>
      </c>
      <c r="C986" s="5" t="s">
        <v>142</v>
      </c>
      <c r="D986" s="5" t="s">
        <v>141</v>
      </c>
      <c r="E986" s="5" t="s">
        <v>140</v>
      </c>
      <c r="F986" s="5" t="s">
        <v>210</v>
      </c>
      <c r="G986" s="5">
        <v>1149</v>
      </c>
      <c r="H986" s="5">
        <v>2299</v>
      </c>
      <c r="I986" s="5" t="s">
        <v>209</v>
      </c>
      <c r="J986" s="5" t="s">
        <v>208</v>
      </c>
      <c r="K986" s="5">
        <v>4.0999999999999996</v>
      </c>
      <c r="L986" s="5">
        <v>828</v>
      </c>
      <c r="M986" s="5">
        <v>0.5</v>
      </c>
      <c r="N986" s="5">
        <v>1138.6340612208289</v>
      </c>
      <c r="O986" s="5">
        <v>1149</v>
      </c>
      <c r="P986" s="5" t="s">
        <v>208</v>
      </c>
      <c r="Q986" s="5" t="s">
        <v>57</v>
      </c>
      <c r="R986" s="5" t="s">
        <v>129</v>
      </c>
      <c r="S986" s="7" t="s">
        <v>211</v>
      </c>
    </row>
    <row r="987" spans="1:19" x14ac:dyDescent="0.35">
      <c r="A987" s="6">
        <v>13249428</v>
      </c>
      <c r="B987" s="5" t="s">
        <v>180</v>
      </c>
      <c r="C987" s="5" t="s">
        <v>135</v>
      </c>
      <c r="D987" s="5" t="s">
        <v>168</v>
      </c>
      <c r="E987" s="5" t="s">
        <v>133</v>
      </c>
      <c r="F987" s="5" t="s">
        <v>206</v>
      </c>
      <c r="G987" s="5">
        <v>974</v>
      </c>
      <c r="H987" s="5">
        <v>1499</v>
      </c>
      <c r="I987" s="5" t="s">
        <v>205</v>
      </c>
      <c r="J987" s="5" t="s">
        <v>177</v>
      </c>
      <c r="K987" s="5">
        <v>3.5</v>
      </c>
      <c r="L987" s="5">
        <v>828</v>
      </c>
      <c r="M987" s="5">
        <v>0.35</v>
      </c>
      <c r="N987" s="5">
        <v>1493.337491012077</v>
      </c>
      <c r="O987" s="5">
        <v>974</v>
      </c>
      <c r="P987" s="5" t="s">
        <v>177</v>
      </c>
      <c r="Q987" s="5" t="s">
        <v>57</v>
      </c>
      <c r="R987" s="5" t="s">
        <v>129</v>
      </c>
      <c r="S987" s="7" t="s">
        <v>207</v>
      </c>
    </row>
    <row r="988" spans="1:19" x14ac:dyDescent="0.35">
      <c r="A988" s="6">
        <v>15012204</v>
      </c>
      <c r="B988" s="5" t="s">
        <v>203</v>
      </c>
      <c r="C988" s="5" t="s">
        <v>135</v>
      </c>
      <c r="D988" s="5" t="s">
        <v>174</v>
      </c>
      <c r="E988" s="5" t="s">
        <v>133</v>
      </c>
      <c r="F988" s="5" t="s">
        <v>202</v>
      </c>
      <c r="G988" s="5">
        <v>1187</v>
      </c>
      <c r="H988" s="5">
        <v>3599</v>
      </c>
      <c r="I988" s="5" t="s">
        <v>146</v>
      </c>
      <c r="J988" s="5" t="s">
        <v>171</v>
      </c>
      <c r="K988" s="5">
        <v>3.8</v>
      </c>
      <c r="L988" s="5">
        <v>828</v>
      </c>
      <c r="M988" s="5">
        <v>0.67</v>
      </c>
      <c r="N988" s="5">
        <v>1493.337491012077</v>
      </c>
      <c r="O988" s="5">
        <v>1187</v>
      </c>
      <c r="P988" s="5" t="s">
        <v>171</v>
      </c>
      <c r="Q988" s="5" t="s">
        <v>55</v>
      </c>
      <c r="R988" s="5" t="s">
        <v>129</v>
      </c>
      <c r="S988" s="7" t="s">
        <v>204</v>
      </c>
    </row>
    <row r="989" spans="1:19" x14ac:dyDescent="0.35">
      <c r="A989" s="6">
        <v>9265605</v>
      </c>
      <c r="B989" s="5" t="s">
        <v>200</v>
      </c>
      <c r="C989" s="5" t="s">
        <v>75</v>
      </c>
      <c r="D989" s="5" t="s">
        <v>199</v>
      </c>
      <c r="E989" s="5" t="s">
        <v>133</v>
      </c>
      <c r="F989" s="5" t="s">
        <v>198</v>
      </c>
      <c r="G989" s="5">
        <v>629</v>
      </c>
      <c r="H989" s="5">
        <v>1799</v>
      </c>
      <c r="I989" s="5" t="s">
        <v>197</v>
      </c>
      <c r="J989" s="5" t="s">
        <v>196</v>
      </c>
      <c r="K989" s="5">
        <v>4.2</v>
      </c>
      <c r="L989" s="5">
        <v>828</v>
      </c>
      <c r="M989" s="5">
        <v>0.65</v>
      </c>
      <c r="N989" s="5">
        <v>1097.3783736315199</v>
      </c>
      <c r="O989" s="5">
        <v>629</v>
      </c>
      <c r="P989" s="5" t="s">
        <v>196</v>
      </c>
      <c r="Q989" s="5" t="s">
        <v>55</v>
      </c>
      <c r="R989" s="5" t="s">
        <v>129</v>
      </c>
      <c r="S989" s="7" t="s">
        <v>201</v>
      </c>
    </row>
    <row r="990" spans="1:19" x14ac:dyDescent="0.35">
      <c r="A990" s="6">
        <v>8010357</v>
      </c>
      <c r="B990" s="5" t="s">
        <v>152</v>
      </c>
      <c r="C990" s="5" t="s">
        <v>75</v>
      </c>
      <c r="D990" s="5" t="s">
        <v>194</v>
      </c>
      <c r="E990" s="5" t="s">
        <v>133</v>
      </c>
      <c r="F990" s="5" t="s">
        <v>193</v>
      </c>
      <c r="G990" s="5">
        <v>1374</v>
      </c>
      <c r="H990" s="5">
        <v>2499</v>
      </c>
      <c r="I990" s="5" t="s">
        <v>36</v>
      </c>
      <c r="J990" s="5" t="s">
        <v>192</v>
      </c>
      <c r="K990" s="5">
        <v>4.5</v>
      </c>
      <c r="L990" s="5">
        <v>828</v>
      </c>
      <c r="M990" s="5">
        <v>0.45</v>
      </c>
      <c r="N990" s="5">
        <v>1097.3783736315199</v>
      </c>
      <c r="O990" s="5">
        <v>1374</v>
      </c>
      <c r="P990" s="5" t="s">
        <v>192</v>
      </c>
      <c r="Q990" s="5" t="s">
        <v>57</v>
      </c>
      <c r="R990" s="5" t="s">
        <v>129</v>
      </c>
      <c r="S990" s="7" t="s">
        <v>195</v>
      </c>
    </row>
    <row r="991" spans="1:19" x14ac:dyDescent="0.35">
      <c r="A991" s="6">
        <v>6743832</v>
      </c>
      <c r="B991" s="5" t="s">
        <v>190</v>
      </c>
      <c r="C991" s="5" t="s">
        <v>189</v>
      </c>
      <c r="D991" s="5" t="s">
        <v>188</v>
      </c>
      <c r="E991" s="5" t="s">
        <v>140</v>
      </c>
      <c r="F991" s="5" t="s">
        <v>187</v>
      </c>
      <c r="G991" s="5">
        <v>604</v>
      </c>
      <c r="H991" s="5">
        <v>1549</v>
      </c>
      <c r="I991" s="5" t="s">
        <v>186</v>
      </c>
      <c r="J991" s="5" t="s">
        <v>185</v>
      </c>
      <c r="K991" s="5">
        <v>3.9</v>
      </c>
      <c r="L991" s="5">
        <v>827</v>
      </c>
      <c r="M991" s="5">
        <v>0.61</v>
      </c>
      <c r="N991" s="5">
        <v>1351.2078667815099</v>
      </c>
      <c r="O991" s="5">
        <v>604</v>
      </c>
      <c r="P991" s="5" t="s">
        <v>185</v>
      </c>
      <c r="Q991" s="5" t="s">
        <v>55</v>
      </c>
      <c r="R991" s="5" t="s">
        <v>129</v>
      </c>
      <c r="S991" s="7" t="s">
        <v>191</v>
      </c>
    </row>
    <row r="992" spans="1:19" x14ac:dyDescent="0.35">
      <c r="A992" s="6">
        <v>10410716</v>
      </c>
      <c r="B992" s="5" t="s">
        <v>183</v>
      </c>
      <c r="C992" s="5" t="s">
        <v>142</v>
      </c>
      <c r="D992" s="5" t="s">
        <v>77</v>
      </c>
      <c r="E992" s="5" t="s">
        <v>140</v>
      </c>
      <c r="F992" s="5" t="s">
        <v>182</v>
      </c>
      <c r="G992" s="5">
        <v>714</v>
      </c>
      <c r="H992" s="5">
        <v>1299</v>
      </c>
      <c r="I992" s="5" t="s">
        <v>36</v>
      </c>
      <c r="J992" s="5" t="s">
        <v>150</v>
      </c>
      <c r="K992" s="5">
        <v>4.3</v>
      </c>
      <c r="L992" s="5">
        <v>827</v>
      </c>
      <c r="M992" s="5">
        <v>0.45</v>
      </c>
      <c r="N992" s="5">
        <v>1138.6340612208289</v>
      </c>
      <c r="O992" s="5">
        <v>714</v>
      </c>
      <c r="P992" s="5" t="s">
        <v>150</v>
      </c>
      <c r="Q992" s="5" t="s">
        <v>57</v>
      </c>
      <c r="R992" s="5" t="s">
        <v>129</v>
      </c>
      <c r="S992" s="7" t="s">
        <v>184</v>
      </c>
    </row>
    <row r="993" spans="1:19" x14ac:dyDescent="0.35">
      <c r="A993" s="6">
        <v>13437258</v>
      </c>
      <c r="B993" s="5" t="s">
        <v>180</v>
      </c>
      <c r="C993" s="5" t="s">
        <v>135</v>
      </c>
      <c r="D993" s="5" t="s">
        <v>168</v>
      </c>
      <c r="E993" s="5" t="s">
        <v>133</v>
      </c>
      <c r="F993" s="5" t="s">
        <v>179</v>
      </c>
      <c r="G993" s="5">
        <v>764</v>
      </c>
      <c r="H993" s="5">
        <v>1699</v>
      </c>
      <c r="I993" s="5" t="s">
        <v>178</v>
      </c>
      <c r="J993" s="5" t="s">
        <v>177</v>
      </c>
      <c r="K993" s="5">
        <v>4.2</v>
      </c>
      <c r="L993" s="5">
        <v>827</v>
      </c>
      <c r="M993" s="5">
        <v>0.55000000000000004</v>
      </c>
      <c r="N993" s="5">
        <v>1493.337491012077</v>
      </c>
      <c r="O993" s="5">
        <v>764</v>
      </c>
      <c r="P993" s="5" t="s">
        <v>177</v>
      </c>
      <c r="Q993" s="5" t="s">
        <v>55</v>
      </c>
      <c r="R993" s="5" t="s">
        <v>129</v>
      </c>
      <c r="S993" s="7" t="s">
        <v>181</v>
      </c>
    </row>
    <row r="994" spans="1:19" x14ac:dyDescent="0.35">
      <c r="A994" s="6">
        <v>10613148</v>
      </c>
      <c r="B994" s="5" t="s">
        <v>175</v>
      </c>
      <c r="C994" s="5" t="s">
        <v>135</v>
      </c>
      <c r="D994" s="5" t="s">
        <v>174</v>
      </c>
      <c r="E994" s="5" t="s">
        <v>133</v>
      </c>
      <c r="F994" s="5" t="s">
        <v>173</v>
      </c>
      <c r="G994" s="5">
        <v>835</v>
      </c>
      <c r="H994" s="5">
        <v>1899</v>
      </c>
      <c r="I994" s="5" t="s">
        <v>172</v>
      </c>
      <c r="J994" s="5" t="s">
        <v>171</v>
      </c>
      <c r="K994" s="5">
        <v>4.2</v>
      </c>
      <c r="L994" s="5">
        <v>827</v>
      </c>
      <c r="M994" s="5">
        <v>0.56000000000000005</v>
      </c>
      <c r="N994" s="5">
        <v>1493.337491012077</v>
      </c>
      <c r="O994" s="5">
        <v>835</v>
      </c>
      <c r="P994" s="5" t="s">
        <v>171</v>
      </c>
      <c r="Q994" s="5" t="s">
        <v>55</v>
      </c>
      <c r="R994" s="5" t="s">
        <v>129</v>
      </c>
      <c r="S994" s="7" t="s">
        <v>176</v>
      </c>
    </row>
    <row r="995" spans="1:19" x14ac:dyDescent="0.35">
      <c r="A995" s="6">
        <v>11862362</v>
      </c>
      <c r="B995" s="5" t="s">
        <v>169</v>
      </c>
      <c r="C995" s="5" t="s">
        <v>135</v>
      </c>
      <c r="D995" s="5" t="s">
        <v>168</v>
      </c>
      <c r="E995" s="5" t="s">
        <v>133</v>
      </c>
      <c r="F995" s="5" t="s">
        <v>167</v>
      </c>
      <c r="G995" s="5">
        <v>681</v>
      </c>
      <c r="H995" s="5">
        <v>3099</v>
      </c>
      <c r="I995" s="5" t="s">
        <v>166</v>
      </c>
      <c r="J995" s="5" t="s">
        <v>150</v>
      </c>
      <c r="K995" s="5">
        <v>4</v>
      </c>
      <c r="L995" s="5">
        <v>827</v>
      </c>
      <c r="M995" s="5">
        <v>0.78</v>
      </c>
      <c r="N995" s="5">
        <v>1493.337491012077</v>
      </c>
      <c r="O995" s="5">
        <v>681</v>
      </c>
      <c r="P995" s="5" t="s">
        <v>150</v>
      </c>
      <c r="Q995" s="5" t="s">
        <v>55</v>
      </c>
      <c r="R995" s="5" t="s">
        <v>129</v>
      </c>
      <c r="S995" s="7" t="s">
        <v>170</v>
      </c>
    </row>
    <row r="996" spans="1:19" x14ac:dyDescent="0.35">
      <c r="A996" s="6">
        <v>13641440</v>
      </c>
      <c r="B996" s="5" t="s">
        <v>164</v>
      </c>
      <c r="C996" s="5" t="s">
        <v>163</v>
      </c>
      <c r="D996" s="5" t="s">
        <v>162</v>
      </c>
      <c r="E996" s="5" t="s">
        <v>133</v>
      </c>
      <c r="F996" s="5" t="s">
        <v>161</v>
      </c>
      <c r="G996" s="5"/>
      <c r="H996" s="5">
        <v>1899</v>
      </c>
      <c r="I996" s="5" t="s">
        <v>160</v>
      </c>
      <c r="J996" s="5" t="s">
        <v>159</v>
      </c>
      <c r="K996" s="5">
        <v>4</v>
      </c>
      <c r="L996" s="5">
        <v>827</v>
      </c>
      <c r="M996" s="5">
        <v>0.59</v>
      </c>
      <c r="N996" s="5">
        <v>1790.0851063829789</v>
      </c>
      <c r="O996" s="5"/>
      <c r="P996" s="5" t="s">
        <v>159</v>
      </c>
      <c r="Q996" s="5" t="s">
        <v>55</v>
      </c>
      <c r="R996" s="5" t="s">
        <v>129</v>
      </c>
      <c r="S996" s="7" t="s">
        <v>165</v>
      </c>
    </row>
    <row r="997" spans="1:19" x14ac:dyDescent="0.35">
      <c r="A997" s="6">
        <v>13676452</v>
      </c>
      <c r="B997" s="5" t="s">
        <v>157</v>
      </c>
      <c r="C997" s="5" t="s">
        <v>156</v>
      </c>
      <c r="D997" s="5" t="s">
        <v>155</v>
      </c>
      <c r="E997" s="5" t="s">
        <v>140</v>
      </c>
      <c r="F997" s="5" t="s">
        <v>154</v>
      </c>
      <c r="G997" s="5">
        <v>988</v>
      </c>
      <c r="H997" s="5">
        <v>1798</v>
      </c>
      <c r="I997" s="5" t="s">
        <v>36</v>
      </c>
      <c r="J997" s="5" t="s">
        <v>150</v>
      </c>
      <c r="K997" s="5">
        <v>4.0999999999999996</v>
      </c>
      <c r="L997" s="5">
        <v>826</v>
      </c>
      <c r="M997" s="5">
        <v>0.45</v>
      </c>
      <c r="N997" s="5">
        <v>691.83976143141149</v>
      </c>
      <c r="O997" s="5">
        <v>988</v>
      </c>
      <c r="P997" s="5" t="s">
        <v>150</v>
      </c>
      <c r="Q997" s="5" t="s">
        <v>57</v>
      </c>
      <c r="R997" s="5" t="s">
        <v>129</v>
      </c>
      <c r="S997" s="7" t="s">
        <v>158</v>
      </c>
    </row>
    <row r="998" spans="1:19" x14ac:dyDescent="0.35">
      <c r="A998" s="6">
        <v>6825447</v>
      </c>
      <c r="B998" s="5" t="s">
        <v>152</v>
      </c>
      <c r="C998" s="5" t="s">
        <v>75</v>
      </c>
      <c r="D998" s="5" t="s">
        <v>77</v>
      </c>
      <c r="E998" s="5" t="s">
        <v>140</v>
      </c>
      <c r="F998" s="5" t="s">
        <v>151</v>
      </c>
      <c r="G998" s="5">
        <v>539</v>
      </c>
      <c r="H998" s="5">
        <v>899</v>
      </c>
      <c r="I998" s="5" t="s">
        <v>131</v>
      </c>
      <c r="J998" s="5" t="s">
        <v>150</v>
      </c>
      <c r="K998" s="5">
        <v>4.2</v>
      </c>
      <c r="L998" s="5">
        <v>826</v>
      </c>
      <c r="M998" s="5">
        <v>0.4</v>
      </c>
      <c r="N998" s="5">
        <v>1097.3783736315199</v>
      </c>
      <c r="O998" s="5">
        <v>539</v>
      </c>
      <c r="P998" s="5" t="s">
        <v>150</v>
      </c>
      <c r="Q998" s="5" t="s">
        <v>57</v>
      </c>
      <c r="R998" s="5" t="s">
        <v>129</v>
      </c>
      <c r="S998" s="7" t="s">
        <v>153</v>
      </c>
    </row>
    <row r="999" spans="1:19" x14ac:dyDescent="0.35">
      <c r="A999" s="6">
        <v>5523552</v>
      </c>
      <c r="B999" s="5" t="s">
        <v>148</v>
      </c>
      <c r="C999" s="5" t="s">
        <v>142</v>
      </c>
      <c r="D999" s="5" t="s">
        <v>141</v>
      </c>
      <c r="E999" s="5" t="s">
        <v>140</v>
      </c>
      <c r="F999" s="5" t="s">
        <v>147</v>
      </c>
      <c r="G999" s="5">
        <v>593</v>
      </c>
      <c r="H999" s="5">
        <v>1799</v>
      </c>
      <c r="I999" s="5" t="s">
        <v>146</v>
      </c>
      <c r="J999" s="5" t="s">
        <v>145</v>
      </c>
      <c r="K999" s="5">
        <v>4.0999999999999996</v>
      </c>
      <c r="L999" s="5">
        <v>826</v>
      </c>
      <c r="M999" s="5">
        <v>0.67</v>
      </c>
      <c r="N999" s="5">
        <v>1138.6340612208289</v>
      </c>
      <c r="O999" s="5">
        <v>593</v>
      </c>
      <c r="P999" s="5" t="s">
        <v>145</v>
      </c>
      <c r="Q999" s="5" t="s">
        <v>55</v>
      </c>
      <c r="R999" s="5" t="s">
        <v>129</v>
      </c>
      <c r="S999" s="7" t="s">
        <v>149</v>
      </c>
    </row>
    <row r="1000" spans="1:19" x14ac:dyDescent="0.35">
      <c r="A1000" s="6">
        <v>8979975</v>
      </c>
      <c r="B1000" s="5" t="s">
        <v>143</v>
      </c>
      <c r="C1000" s="5" t="s">
        <v>142</v>
      </c>
      <c r="D1000" s="5" t="s">
        <v>141</v>
      </c>
      <c r="E1000" s="5" t="s">
        <v>140</v>
      </c>
      <c r="F1000" s="5" t="s">
        <v>139</v>
      </c>
      <c r="G1000" s="5">
        <v>1181</v>
      </c>
      <c r="H1000" s="5">
        <v>2149</v>
      </c>
      <c r="I1000" s="5" t="s">
        <v>36</v>
      </c>
      <c r="J1000" s="5" t="s">
        <v>138</v>
      </c>
      <c r="K1000" s="5">
        <v>4.3</v>
      </c>
      <c r="L1000" s="5">
        <v>826</v>
      </c>
      <c r="M1000" s="5">
        <v>0.45</v>
      </c>
      <c r="N1000" s="5">
        <v>1138.6340612208289</v>
      </c>
      <c r="O1000" s="5">
        <v>1181</v>
      </c>
      <c r="P1000" s="5" t="s">
        <v>138</v>
      </c>
      <c r="Q1000" s="5" t="s">
        <v>57</v>
      </c>
      <c r="R1000" s="5" t="s">
        <v>129</v>
      </c>
      <c r="S1000" s="7" t="s">
        <v>144</v>
      </c>
    </row>
    <row r="1001" spans="1:19" x14ac:dyDescent="0.35">
      <c r="A1001" s="11">
        <v>10216989</v>
      </c>
      <c r="B1001" s="12" t="s">
        <v>136</v>
      </c>
      <c r="C1001" s="12" t="s">
        <v>135</v>
      </c>
      <c r="D1001" s="12" t="s">
        <v>134</v>
      </c>
      <c r="E1001" s="12" t="s">
        <v>133</v>
      </c>
      <c r="F1001" s="12" t="s">
        <v>132</v>
      </c>
      <c r="G1001" s="12">
        <v>1439</v>
      </c>
      <c r="H1001" s="12">
        <v>2399</v>
      </c>
      <c r="I1001" s="12" t="s">
        <v>131</v>
      </c>
      <c r="J1001" s="12" t="s">
        <v>130</v>
      </c>
      <c r="K1001" s="12">
        <v>4.2</v>
      </c>
      <c r="L1001" s="12">
        <v>826</v>
      </c>
      <c r="M1001" s="12">
        <v>0.4</v>
      </c>
      <c r="N1001" s="12">
        <v>1493.337491012077</v>
      </c>
      <c r="O1001" s="12">
        <v>1439</v>
      </c>
      <c r="P1001" s="12" t="s">
        <v>130</v>
      </c>
      <c r="Q1001" s="12" t="s">
        <v>57</v>
      </c>
      <c r="R1001" s="12" t="s">
        <v>129</v>
      </c>
      <c r="S1001" s="13" t="s">
        <v>137</v>
      </c>
    </row>
  </sheetData>
  <hyperlinks>
    <hyperlink ref="S2" r:id="rId1" xr:uid="{17FA87E8-8CA9-426A-BAD2-B0238758844E}"/>
    <hyperlink ref="S3" r:id="rId2" xr:uid="{E8817F9A-EB56-43DD-8E84-DC5FA6207C69}"/>
    <hyperlink ref="S4" r:id="rId3" xr:uid="{5FEF25EB-FC7E-4AD1-AC12-5C27871189AA}"/>
    <hyperlink ref="S5" r:id="rId4" xr:uid="{27932DD2-724F-4D58-A979-D8CF4ABEE8A2}"/>
    <hyperlink ref="S6" r:id="rId5" xr:uid="{15D19D4E-60E4-479B-B783-6B8212A5DAA8}"/>
    <hyperlink ref="S7" r:id="rId6" xr:uid="{3CC09936-4A85-440F-AAF5-7C55CAA62660}"/>
    <hyperlink ref="S8" r:id="rId7" xr:uid="{E6514BD2-9CF4-49AD-BDBC-F4D009A71722}"/>
    <hyperlink ref="S9" r:id="rId8" xr:uid="{8AD6BCE7-FA1D-4E5A-AAB1-3E6826F9521A}"/>
    <hyperlink ref="S10" r:id="rId9" xr:uid="{515BAAC4-B0B8-44CF-AB68-C3F8BA0AFC31}"/>
    <hyperlink ref="S11" r:id="rId10" xr:uid="{6D1B639D-E44A-4295-A1C8-3D441EE836C8}"/>
    <hyperlink ref="S12" r:id="rId11" xr:uid="{F3A3437A-FBD7-48EB-8FB3-B7BEA5871DAC}"/>
    <hyperlink ref="S13" r:id="rId12" xr:uid="{7E31D9B7-BB92-4DC3-9639-52EE13E941F2}"/>
    <hyperlink ref="S14" r:id="rId13" xr:uid="{8D88FF2D-7BCC-4711-8EC7-BB0CBEB14962}"/>
    <hyperlink ref="S15" r:id="rId14" xr:uid="{E167B1CC-ACA5-44DB-AD20-499F082D6052}"/>
    <hyperlink ref="S16" r:id="rId15" xr:uid="{34554583-3337-446C-B5B9-E31ED26C3CB5}"/>
    <hyperlink ref="S17" r:id="rId16" xr:uid="{6DB9E28D-D965-462C-90AD-BD9A51EA97E8}"/>
    <hyperlink ref="S18" r:id="rId17" xr:uid="{55E8553F-1A76-482B-B1CE-E0C345AEBBCF}"/>
    <hyperlink ref="S19" r:id="rId18" xr:uid="{D7B044ED-65C6-497A-A891-7A789140B5A6}"/>
    <hyperlink ref="S20" r:id="rId19" xr:uid="{7D4475D4-52A9-407B-9FA1-2EC9660CE5E1}"/>
    <hyperlink ref="S21" r:id="rId20" xr:uid="{74EB75CC-7780-40EF-905F-208985AEA41E}"/>
    <hyperlink ref="S22" r:id="rId21" xr:uid="{85FB51B0-0CAD-408F-848D-DD69CD3FB8A5}"/>
    <hyperlink ref="S23" r:id="rId22" xr:uid="{10F9C4BC-F15D-46DE-AFF2-B3254DFF90D5}"/>
    <hyperlink ref="S24" r:id="rId23" xr:uid="{0D20FCDB-BE65-44EE-9178-0D10F6522ADE}"/>
    <hyperlink ref="S25" r:id="rId24" xr:uid="{9396540F-A841-44C6-9F61-E655AE1B56B7}"/>
    <hyperlink ref="S26" r:id="rId25" xr:uid="{ECF42B11-A764-4170-A8DA-176FFEAA4E84}"/>
    <hyperlink ref="S27" r:id="rId26" xr:uid="{21D7C82B-294D-4379-A8DA-6EA8258CE9B4}"/>
    <hyperlink ref="S28" r:id="rId27" xr:uid="{EE958E05-F56B-4F13-B42F-18DA3BAE30ED}"/>
    <hyperlink ref="S29" r:id="rId28" xr:uid="{8A6A30B9-206D-4B88-9A17-9832588BD469}"/>
    <hyperlink ref="S30" r:id="rId29" xr:uid="{0C8E913E-3891-4BFE-A784-AB33A949BEA1}"/>
    <hyperlink ref="S31" r:id="rId30" xr:uid="{5CA9AD00-3B4B-441B-B391-82CE796FB3C1}"/>
    <hyperlink ref="S32" r:id="rId31" xr:uid="{8AFB84EB-B793-45B4-B06F-5AD408C252A0}"/>
    <hyperlink ref="S33" r:id="rId32" xr:uid="{22C044F6-35D3-479C-9FA5-6B54AD6E4271}"/>
    <hyperlink ref="S34" r:id="rId33" xr:uid="{91210940-DD45-452C-ABD3-DC9DF502C330}"/>
    <hyperlink ref="S35" r:id="rId34" xr:uid="{622E22F6-AD9E-4DEE-9FA2-2C7804C1DE56}"/>
    <hyperlink ref="S36" r:id="rId35" xr:uid="{BA128A26-ECDE-4B7B-BCA0-912DA71638B6}"/>
    <hyperlink ref="S37" r:id="rId36" xr:uid="{2025E02E-C98C-40E1-A8E9-381EB598785E}"/>
    <hyperlink ref="S38" r:id="rId37" xr:uid="{75D1BCAA-2650-4A5C-8679-2893E100BAFC}"/>
    <hyperlink ref="S39" r:id="rId38" xr:uid="{DDE66CC9-EF07-4DAA-92C3-6F99712724B3}"/>
    <hyperlink ref="S40" r:id="rId39" xr:uid="{07272E2D-EF8B-4380-9FC6-EB7C70B3E6C9}"/>
    <hyperlink ref="S41" r:id="rId40" xr:uid="{CDE080C2-A5C6-4B21-909F-AF855F3D575C}"/>
    <hyperlink ref="S42" r:id="rId41" xr:uid="{5085D1ED-A89C-4DED-8E87-B7FE891C8FF0}"/>
    <hyperlink ref="S43" r:id="rId42" xr:uid="{9A1ED2A3-2098-45DF-8A07-A7A3C76E2075}"/>
    <hyperlink ref="S44" r:id="rId43" xr:uid="{A96596B9-EFC8-4704-BEB7-82470E3C49D9}"/>
    <hyperlink ref="S45" r:id="rId44" xr:uid="{7D8D953A-F0D2-4380-B417-CE309120AAF2}"/>
    <hyperlink ref="S46" r:id="rId45" xr:uid="{AAD910F7-B86A-4D1F-9FE1-6B42CA553AA9}"/>
    <hyperlink ref="S47" r:id="rId46" xr:uid="{9D402512-4C83-4C00-AC60-D50D501CB8A1}"/>
    <hyperlink ref="S48" r:id="rId47" xr:uid="{8D96914A-A9BA-4D40-86FC-A508E7FC2A54}"/>
    <hyperlink ref="S49" r:id="rId48" xr:uid="{A3AF2419-C86E-4ED9-8E71-254B6D3287AE}"/>
    <hyperlink ref="S50" r:id="rId49" xr:uid="{F11B4D3F-02BD-42C6-B6F5-58A483B6443C}"/>
    <hyperlink ref="S51" r:id="rId50" xr:uid="{3C84F2E5-66B4-4B30-A67A-79EBFFEC26D2}"/>
    <hyperlink ref="S52" r:id="rId51" xr:uid="{FE9B28EE-BC27-4D78-A1DC-D294CBA6FD12}"/>
    <hyperlink ref="S53" r:id="rId52" xr:uid="{55B8AF4D-2AB0-4B74-8F02-64EAFC8AA162}"/>
    <hyperlink ref="S54" r:id="rId53" xr:uid="{D4514681-8B72-4B63-AFCA-EE284F0FD1ED}"/>
    <hyperlink ref="S55" r:id="rId54" xr:uid="{B5CF1D0E-309C-4569-8406-0590ADC0A333}"/>
    <hyperlink ref="S56" r:id="rId55" xr:uid="{9879EDAD-E51C-43DD-9965-0FA91F44EF8C}"/>
    <hyperlink ref="S57" r:id="rId56" xr:uid="{7A2EE2F1-5712-416E-A3EE-54724AFD0F0E}"/>
    <hyperlink ref="S58" r:id="rId57" xr:uid="{2D220C0E-E013-4633-B5DE-858064806462}"/>
    <hyperlink ref="S59" r:id="rId58" xr:uid="{AD1FC1F3-2126-4654-B2DA-42DC31D5EB6F}"/>
    <hyperlink ref="S60" r:id="rId59" xr:uid="{6358B8C7-2ED1-45AE-979B-4B7F235353E5}"/>
    <hyperlink ref="S61" r:id="rId60" xr:uid="{0FF9A6AF-3A06-4DE7-AC04-920E5BC2F586}"/>
    <hyperlink ref="S62" r:id="rId61" xr:uid="{A4C16E43-AF33-425C-AEAE-B8310D064082}"/>
    <hyperlink ref="S63" r:id="rId62" xr:uid="{11082602-220B-4B5B-86D6-B20B31EE3038}"/>
    <hyperlink ref="S64" r:id="rId63" xr:uid="{FECEFAA9-C8EE-4A54-A273-07513FCABA05}"/>
    <hyperlink ref="S65" r:id="rId64" xr:uid="{73409C6C-4F01-4253-ACEC-4AFAD5C48E97}"/>
    <hyperlink ref="S66" r:id="rId65" xr:uid="{FF47D26B-5441-4D61-9A14-AD89DB5B70F7}"/>
    <hyperlink ref="S67" r:id="rId66" xr:uid="{3CABC392-5B65-4495-BBA8-D40B65A01746}"/>
    <hyperlink ref="S68" r:id="rId67" xr:uid="{0CECB4E2-2242-4C4C-B6C4-5598E96E28E3}"/>
    <hyperlink ref="S69" r:id="rId68" xr:uid="{C16AA30A-F9D5-43FB-8BDB-B2128399AC45}"/>
    <hyperlink ref="S70" r:id="rId69" xr:uid="{F39C6275-EB5B-4BC3-9261-21D3FB39D284}"/>
    <hyperlink ref="S71" r:id="rId70" xr:uid="{51F5A9A5-3FDC-4BEE-A28A-CFA170176A88}"/>
    <hyperlink ref="S72" r:id="rId71" xr:uid="{FB7C5F2A-0A61-4638-AEBF-8AAFCEF6C85D}"/>
    <hyperlink ref="S73" r:id="rId72" xr:uid="{B9DAAA89-ACCB-463E-8566-0409D2C34169}"/>
    <hyperlink ref="S74" r:id="rId73" xr:uid="{B28DAB43-E70C-4915-B092-966D51864599}"/>
    <hyperlink ref="S75" r:id="rId74" xr:uid="{72ABC1F0-5557-4F51-BFC0-65715C06E7DF}"/>
    <hyperlink ref="S76" r:id="rId75" xr:uid="{8FFB7C75-67FD-4EB0-B93C-7867F46F91D6}"/>
    <hyperlink ref="S77" r:id="rId76" xr:uid="{1417449D-0A73-4327-9304-B4B18297B9A7}"/>
    <hyperlink ref="S78" r:id="rId77" xr:uid="{E87C3F12-3538-4B39-80FE-EFF36B6CF974}"/>
    <hyperlink ref="S79" r:id="rId78" xr:uid="{1280A709-C15B-46B0-9AC9-E1C700787250}"/>
    <hyperlink ref="S80" r:id="rId79" xr:uid="{7B541CBB-F0B4-44B9-9F68-DC7129DE720C}"/>
    <hyperlink ref="S81" r:id="rId80" xr:uid="{8FF58E88-673E-477C-89DE-9C730CBB4B75}"/>
    <hyperlink ref="S82" r:id="rId81" xr:uid="{8932C9A3-6906-4325-8050-8D3515D7DA23}"/>
    <hyperlink ref="S83" r:id="rId82" xr:uid="{81F5F727-775F-4868-9B3C-E30667D298A1}"/>
    <hyperlink ref="S84" r:id="rId83" xr:uid="{9E3B2EFA-23C1-4CA9-A5D3-4C60FCAA08A4}"/>
    <hyperlink ref="S85" r:id="rId84" xr:uid="{C37195E6-E193-49E7-AC08-7B8A2F38DF53}"/>
    <hyperlink ref="S86" r:id="rId85" xr:uid="{B2B492ED-BCD7-48F9-94C3-8B75F2B82CD7}"/>
    <hyperlink ref="S87" r:id="rId86" xr:uid="{BD29BA8F-F182-46F6-A2C7-0678BAE263B8}"/>
    <hyperlink ref="S88" r:id="rId87" xr:uid="{6CA3FD1A-A5EE-4396-9F15-D0D61171D543}"/>
    <hyperlink ref="S89" r:id="rId88" xr:uid="{430C1874-B095-4A9B-A3CE-C650BB9430F2}"/>
    <hyperlink ref="S90" r:id="rId89" xr:uid="{DEDB47DA-7F5A-4800-97D2-471CBE3113A9}"/>
    <hyperlink ref="S91" r:id="rId90" xr:uid="{CF56CBAB-7C63-482B-B94B-A59E218D6D20}"/>
    <hyperlink ref="S92" r:id="rId91" xr:uid="{A831D3D4-82CF-475D-AE90-96570C625E5D}"/>
    <hyperlink ref="S93" r:id="rId92" xr:uid="{79439010-93F9-4E7B-8F9D-1ED1E2DF7C17}"/>
    <hyperlink ref="S94" r:id="rId93" xr:uid="{BE8A6E59-BB44-443F-BFF7-BF3522030BB4}"/>
    <hyperlink ref="S95" r:id="rId94" xr:uid="{16DB1746-AAA0-4BA1-B954-08458968064A}"/>
    <hyperlink ref="S96" r:id="rId95" xr:uid="{7706CD92-5858-47E6-997B-A7E3164A387D}"/>
    <hyperlink ref="S97" r:id="rId96" xr:uid="{10E875BA-B5A7-4FB9-B942-12DA8753B4A0}"/>
    <hyperlink ref="S98" r:id="rId97" xr:uid="{ED0E4C04-0ED9-4FEE-8FF3-37801DF3EF05}"/>
    <hyperlink ref="S99" r:id="rId98" xr:uid="{D21F2BC5-9B77-4129-A62A-21BC0BD3A0B0}"/>
    <hyperlink ref="S100" r:id="rId99" xr:uid="{8CE55335-D52E-44AD-8F69-CD5FCF0D79C0}"/>
    <hyperlink ref="S101" r:id="rId100" xr:uid="{A4239C6A-27E3-44DD-830A-DA7D6EA3580D}"/>
    <hyperlink ref="S102" r:id="rId101" xr:uid="{66B3EA93-3D49-435F-9184-3EF35BF92AE9}"/>
    <hyperlink ref="S103" r:id="rId102" xr:uid="{BEA60548-AD08-4B6E-B0BF-CE6511F6BF41}"/>
    <hyperlink ref="S104" r:id="rId103" xr:uid="{81099357-7C9E-479C-BC63-5FD44128C3EB}"/>
    <hyperlink ref="S105" r:id="rId104" xr:uid="{3DA2A24B-5980-4EC8-BB87-EEEFF3B8594C}"/>
    <hyperlink ref="S106" r:id="rId105" xr:uid="{00FAEE31-D610-475C-9D53-9D78F762F861}"/>
    <hyperlink ref="S107" r:id="rId106" xr:uid="{FA01CD90-538A-457F-B83E-D4DEFD842AB6}"/>
    <hyperlink ref="S108" r:id="rId107" xr:uid="{5B02E311-37D7-42E7-8630-0B57E84F3594}"/>
    <hyperlink ref="S109" r:id="rId108" xr:uid="{9475EA77-963A-4532-B222-15630025CA8F}"/>
    <hyperlink ref="S110" r:id="rId109" xr:uid="{0397C40F-CD52-49FE-A0CF-EFACABA0013F}"/>
    <hyperlink ref="S111" r:id="rId110" xr:uid="{BF0D0D6A-80BD-4ACC-A818-CBA1EC264D7E}"/>
    <hyperlink ref="S112" r:id="rId111" xr:uid="{A82DE82A-2E28-4607-B738-F1FD12500FA8}"/>
    <hyperlink ref="S113" r:id="rId112" xr:uid="{6DCF54DA-1016-4DED-BF79-7B8F04C55BEE}"/>
    <hyperlink ref="S114" r:id="rId113" xr:uid="{4587465C-0C1B-4244-9972-0DC9AEF3323E}"/>
    <hyperlink ref="S115" r:id="rId114" xr:uid="{0ED853E0-1A29-4186-B5FC-FF71AF5C6255}"/>
    <hyperlink ref="S116" r:id="rId115" xr:uid="{C0E6F41E-E8AB-4E54-BAE3-E30AB24A873A}"/>
    <hyperlink ref="S117" r:id="rId116" xr:uid="{2D5909D7-6207-49BF-8A29-E92F5E634BD7}"/>
    <hyperlink ref="S118" r:id="rId117" xr:uid="{354C36C9-E8D6-4979-9567-14328ED84BA2}"/>
    <hyperlink ref="S119" r:id="rId118" xr:uid="{227BF3A6-7EBF-4451-AA99-44E7EE720E97}"/>
    <hyperlink ref="S120" r:id="rId119" xr:uid="{ADE48590-4641-48BA-BB73-9B721473D5DD}"/>
    <hyperlink ref="S121" r:id="rId120" xr:uid="{04322472-FE75-47DD-9931-511C6FCE886B}"/>
    <hyperlink ref="S122" r:id="rId121" xr:uid="{31AF8A64-E7A4-4E79-A0E4-5436F894E397}"/>
    <hyperlink ref="S123" r:id="rId122" xr:uid="{6A1AF85F-6214-4012-9581-51B1A34CEF02}"/>
    <hyperlink ref="S124" r:id="rId123" xr:uid="{637B87F1-AEC5-4872-B59F-3789AFE3EE30}"/>
    <hyperlink ref="S125" r:id="rId124" xr:uid="{4BCE7761-B182-4FFD-AC13-82EF9F69CED9}"/>
    <hyperlink ref="S126" r:id="rId125" xr:uid="{F783DB90-94A3-4B2A-B11F-EC518E339F83}"/>
    <hyperlink ref="S127" r:id="rId126" xr:uid="{2C4DFF49-E01F-4CBD-8400-40E153C7842D}"/>
    <hyperlink ref="S128" r:id="rId127" xr:uid="{D3267919-5F23-443E-B6A0-2BF8A6290C35}"/>
    <hyperlink ref="S129" r:id="rId128" xr:uid="{B95025BD-0518-4871-814F-36C39C75037F}"/>
    <hyperlink ref="S130" r:id="rId129" xr:uid="{7B7105A3-CBB8-47A4-A939-88A960348429}"/>
    <hyperlink ref="S131" r:id="rId130" xr:uid="{E43E07DF-A609-4CEA-971D-837F8698D628}"/>
    <hyperlink ref="S132" r:id="rId131" xr:uid="{125B2CF7-9728-4CEB-91BE-CE40C37C843F}"/>
    <hyperlink ref="S133" r:id="rId132" xr:uid="{6AB417CF-88FA-4A40-BE4F-85299378A9C8}"/>
    <hyperlink ref="S134" r:id="rId133" xr:uid="{49884DEE-BA17-45E5-84CD-06AB36CBA234}"/>
    <hyperlink ref="S135" r:id="rId134" xr:uid="{CB67F6EE-FCD3-4525-9A4A-10732D186339}"/>
    <hyperlink ref="S136" r:id="rId135" xr:uid="{58280A8F-0EE1-46A6-96F6-D97711A0D989}"/>
    <hyperlink ref="S137" r:id="rId136" xr:uid="{A5A103EB-3523-4605-A012-117E77E1AABE}"/>
    <hyperlink ref="S138" r:id="rId137" xr:uid="{9E1AE742-B832-40E7-B216-E7873A63605A}"/>
    <hyperlink ref="S139" r:id="rId138" xr:uid="{5B875E8C-C836-45DD-87E6-1BCC3D3ACB33}"/>
    <hyperlink ref="S140" r:id="rId139" xr:uid="{29D7BF23-C52F-45F3-B5C8-69B9DED8A68D}"/>
    <hyperlink ref="S141" r:id="rId140" xr:uid="{ACCC2870-1290-4177-9833-6645A9C22E51}"/>
    <hyperlink ref="S142" r:id="rId141" xr:uid="{7191B423-219A-480D-9A15-5BEE672E7C5A}"/>
    <hyperlink ref="S143" r:id="rId142" xr:uid="{3F7D8C20-E803-4661-A2D0-CECF5E0BD4ED}"/>
    <hyperlink ref="S144" r:id="rId143" xr:uid="{51DB99AC-3E84-4D47-B9B2-6B8663AF628D}"/>
    <hyperlink ref="S145" r:id="rId144" xr:uid="{A34006FA-A299-4CAC-8F47-F2AFF7EC6E4D}"/>
    <hyperlink ref="S146" r:id="rId145" xr:uid="{62742E45-3931-4D20-B916-B1DFAF3082AD}"/>
    <hyperlink ref="S147" r:id="rId146" xr:uid="{B9FB6953-1769-4D3D-B6AC-93613F2330E4}"/>
    <hyperlink ref="S148" r:id="rId147" xr:uid="{5531C91F-BA0D-4009-9872-8854497E0715}"/>
    <hyperlink ref="S149" r:id="rId148" xr:uid="{1A5E4C40-B39A-4D96-AC11-24D890F0A4A3}"/>
    <hyperlink ref="S150" r:id="rId149" xr:uid="{A13381B3-9E4D-4C11-8F28-5E5124774F26}"/>
    <hyperlink ref="S151" r:id="rId150" xr:uid="{FD500EC8-93B3-40FF-8BF0-A5094CF8E350}"/>
    <hyperlink ref="S152" r:id="rId151" xr:uid="{48D054DB-DB25-47B3-9650-43D92266BB74}"/>
    <hyperlink ref="S153" r:id="rId152" xr:uid="{C76A8D77-828B-4EC0-A0F5-CFA84F7E388D}"/>
    <hyperlink ref="S154" r:id="rId153" xr:uid="{211C578A-1F2D-4AF4-9171-AC53B417EB71}"/>
    <hyperlink ref="S155" r:id="rId154" xr:uid="{FAE77E56-0B17-49AA-BA04-5EFFE38DEDFF}"/>
    <hyperlink ref="S156" r:id="rId155" xr:uid="{A6AE79DD-F059-4181-8D00-67FF83850956}"/>
    <hyperlink ref="S157" r:id="rId156" xr:uid="{CCBEEC68-C1BC-42B4-AEE9-AB2258ED16F3}"/>
    <hyperlink ref="S158" r:id="rId157" xr:uid="{F0025821-2CEE-422B-BA5D-D16FFD60D04B}"/>
    <hyperlink ref="S159" r:id="rId158" xr:uid="{BD64FB88-1F2D-44AE-8602-525FC0110536}"/>
    <hyperlink ref="S160" r:id="rId159" xr:uid="{EC1F9F81-BFCA-4610-9EF3-5D9DC96EC723}"/>
    <hyperlink ref="S161" r:id="rId160" xr:uid="{BBA09AF6-97EE-4FC4-A0F5-B12466C4A47A}"/>
    <hyperlink ref="S162" r:id="rId161" xr:uid="{D3D8A240-B499-492E-83DE-C58CDE6BC506}"/>
    <hyperlink ref="S163" r:id="rId162" xr:uid="{224CD2B4-1E98-4F0E-8704-70DE2894E5FD}"/>
    <hyperlink ref="S164" r:id="rId163" xr:uid="{BD74EA8A-355C-4385-B321-203C64A072B1}"/>
    <hyperlink ref="S165" r:id="rId164" xr:uid="{182BB267-2057-40DD-96D9-2B1879E30565}"/>
    <hyperlink ref="S166" r:id="rId165" xr:uid="{C6355B95-099D-4401-AE03-224B458C781C}"/>
    <hyperlink ref="S167" r:id="rId166" xr:uid="{7480F1E5-2C30-49AE-AE41-3EBA2A2F500D}"/>
    <hyperlink ref="S168" r:id="rId167" xr:uid="{D53A537C-259B-4A69-9BD0-150F3FA7AE43}"/>
    <hyperlink ref="S169" r:id="rId168" xr:uid="{B17837EA-C01D-407C-8D38-3138C85A1470}"/>
    <hyperlink ref="S170" r:id="rId169" xr:uid="{19C82C16-B654-4F8A-9F43-6754BCE6EB3A}"/>
    <hyperlink ref="S171" r:id="rId170" xr:uid="{03C08181-91A5-4296-B673-18C26965520E}"/>
    <hyperlink ref="S172" r:id="rId171" xr:uid="{3859E561-BD16-4EA3-886D-196B153BDFF5}"/>
    <hyperlink ref="S173" r:id="rId172" xr:uid="{365EDA77-F630-4739-AB5F-8831CA2071B3}"/>
    <hyperlink ref="S174" r:id="rId173" xr:uid="{8379EA68-4A1F-4D6E-B0CA-C87E24400E8A}"/>
    <hyperlink ref="S175" r:id="rId174" xr:uid="{65E0F3C1-6C9E-462B-BFAE-0C59708138F3}"/>
    <hyperlink ref="S176" r:id="rId175" xr:uid="{9A0BBFFF-C8CE-4831-B497-19851C46991C}"/>
    <hyperlink ref="S177" r:id="rId176" xr:uid="{FB64EC6B-5A1C-4FD7-9B70-B43252585626}"/>
    <hyperlink ref="S178" r:id="rId177" xr:uid="{13E57008-FAC8-48F3-9734-861FC66F767C}"/>
    <hyperlink ref="S179" r:id="rId178" xr:uid="{E3E9B4E3-A7E2-43A2-AB8C-6445FE8E6077}"/>
    <hyperlink ref="S180" r:id="rId179" xr:uid="{702B8455-45A8-43E7-B30A-C57AEB74DA90}"/>
    <hyperlink ref="S181" r:id="rId180" xr:uid="{EA002482-0E63-4FA5-B882-83F3BA122E0F}"/>
    <hyperlink ref="S182" r:id="rId181" xr:uid="{7C8149F9-9480-46A9-9220-442F546F6A2A}"/>
    <hyperlink ref="S183" r:id="rId182" xr:uid="{D6E1BB76-3E1A-4B0E-9AB4-4D17A1000B77}"/>
    <hyperlink ref="S184" r:id="rId183" xr:uid="{E5E79033-681E-4F5A-865F-1A4F076F739E}"/>
    <hyperlink ref="S185" r:id="rId184" xr:uid="{21B749FE-F336-4D73-A333-7ECEAFE2FDD1}"/>
    <hyperlink ref="S186" r:id="rId185" xr:uid="{39FF5A87-F162-4EF3-94D8-B3BB91573CA9}"/>
    <hyperlink ref="S187" r:id="rId186" xr:uid="{A2F2781F-6497-4F41-B583-CEF81907D661}"/>
    <hyperlink ref="S188" r:id="rId187" xr:uid="{3226793C-5A8E-4AC2-A92A-7EA16D79B9CF}"/>
    <hyperlink ref="S189" r:id="rId188" xr:uid="{EC683417-84F3-48E3-8345-6E5A574287DF}"/>
    <hyperlink ref="S190" r:id="rId189" xr:uid="{41D24B94-1AC0-4A6A-80EF-52F461C2F143}"/>
    <hyperlink ref="S191" r:id="rId190" xr:uid="{60621DA8-0E1E-4613-B82F-AEA91D6A639A}"/>
    <hyperlink ref="S192" r:id="rId191" xr:uid="{ADBB65B1-D4E3-4886-B0ED-682D78FE0113}"/>
    <hyperlink ref="S193" r:id="rId192" xr:uid="{2B6C424B-2DD2-4CEA-B7C2-5B52425F570E}"/>
    <hyperlink ref="S194" r:id="rId193" xr:uid="{06189A53-834A-495F-B461-53A0FE2F6D68}"/>
    <hyperlink ref="S195" r:id="rId194" xr:uid="{78ED8B8F-941F-48AD-9790-E851C0062707}"/>
    <hyperlink ref="S196" r:id="rId195" xr:uid="{7B2E6BBE-A3D9-4404-9226-BFE48B248E0B}"/>
    <hyperlink ref="S197" r:id="rId196" xr:uid="{23C5B913-5345-4221-8EB8-81256D16921F}"/>
    <hyperlink ref="S198" r:id="rId197" xr:uid="{4E5F18C9-79EB-47C9-B79B-F145A6B5919E}"/>
    <hyperlink ref="S199" r:id="rId198" xr:uid="{8B7B729B-B585-4451-A88F-94B075636B8E}"/>
    <hyperlink ref="S200" r:id="rId199" xr:uid="{9362E704-D5A6-4B56-AA6C-127942FAC6F0}"/>
    <hyperlink ref="S201" r:id="rId200" xr:uid="{56FC450F-BC74-4D80-940B-BB375BE36D32}"/>
    <hyperlink ref="S202" r:id="rId201" xr:uid="{1F72E382-9B93-4BCC-819D-5072844ACC07}"/>
    <hyperlink ref="S203" r:id="rId202" xr:uid="{2A905441-B7E4-4B1E-844C-52E24A289EAE}"/>
    <hyperlink ref="S204" r:id="rId203" xr:uid="{D5537A15-BDA7-48E0-9417-B7F8F9E5DD31}"/>
    <hyperlink ref="S205" r:id="rId204" xr:uid="{0AD9C59A-3C0D-4C5B-BEEF-AB6B482BB720}"/>
    <hyperlink ref="S206" r:id="rId205" xr:uid="{71C83E0C-D3D5-4791-A4DB-835D0CF51EE5}"/>
    <hyperlink ref="S207" r:id="rId206" xr:uid="{B72F13EE-B796-487F-B18F-9A8BDF56A978}"/>
    <hyperlink ref="S208" r:id="rId207" xr:uid="{41BF47D3-DF58-4E5B-982D-F0C20D84360F}"/>
    <hyperlink ref="S209" r:id="rId208" xr:uid="{E88F3FC9-994A-4BAE-8EF0-CCDB53EACE13}"/>
    <hyperlink ref="S210" r:id="rId209" xr:uid="{9EC18210-6179-4879-AFFA-F7B161FC4841}"/>
    <hyperlink ref="S211" r:id="rId210" xr:uid="{FAE845A5-7891-4373-8AB6-F0D85D088608}"/>
    <hyperlink ref="S212" r:id="rId211" xr:uid="{D997A139-0595-45D4-A0D5-B8132BC9301D}"/>
    <hyperlink ref="S213" r:id="rId212" xr:uid="{2E6CD7A0-97DA-4DB1-B72C-B6AE452A1BD8}"/>
    <hyperlink ref="S214" r:id="rId213" xr:uid="{C7E36075-6D93-4C97-8190-58014EB23F1E}"/>
    <hyperlink ref="S215" r:id="rId214" xr:uid="{090B511C-A7EC-40D8-B6F9-6C9FC0E3CFC1}"/>
    <hyperlink ref="S216" r:id="rId215" xr:uid="{87CFE756-B5E4-4792-8C3C-8F8DA15C74FB}"/>
    <hyperlink ref="S217" r:id="rId216" xr:uid="{A2A34430-E03A-4081-B7CD-60D905D4C0CB}"/>
    <hyperlink ref="S218" r:id="rId217" xr:uid="{5A3FA9A5-43DC-4082-8D92-FB7CD88F0783}"/>
    <hyperlink ref="S219" r:id="rId218" xr:uid="{332FB14A-3503-4FA2-A134-929BABA55F41}"/>
    <hyperlink ref="S220" r:id="rId219" xr:uid="{A93E4DD7-E15A-4FE3-8E9A-92E2B509830F}"/>
    <hyperlink ref="S221" r:id="rId220" xr:uid="{08089E59-CD05-49E1-A515-D5DAF1A60B62}"/>
    <hyperlink ref="S222" r:id="rId221" xr:uid="{4530A7D8-B377-45E0-B813-8BCE4AF8855B}"/>
    <hyperlink ref="S223" r:id="rId222" xr:uid="{A802F197-1527-4127-A4DE-16D07C966910}"/>
    <hyperlink ref="S224" r:id="rId223" xr:uid="{3770BF4D-BB70-4D05-98C5-C464CA1CA505}"/>
    <hyperlink ref="S225" r:id="rId224" xr:uid="{21CE0CC0-8A29-436B-AD01-D76B7C8F9DBA}"/>
    <hyperlink ref="S226" r:id="rId225" xr:uid="{1060BBD3-2E73-4BD6-9B51-6B3EC72C1F0C}"/>
    <hyperlink ref="S227" r:id="rId226" xr:uid="{5B68713A-BDED-4B5D-9FA3-D659C8AAA090}"/>
    <hyperlink ref="S228" r:id="rId227" xr:uid="{1E014C18-D9E6-482E-A928-50B27A1F85E4}"/>
    <hyperlink ref="S229" r:id="rId228" xr:uid="{BEB600B8-076C-4662-A3E5-1FA580CEE1CA}"/>
    <hyperlink ref="S230" r:id="rId229" xr:uid="{AB1E227B-9702-4D91-B0D7-4B04D896F093}"/>
    <hyperlink ref="S231" r:id="rId230" xr:uid="{9DB73C8A-1521-488A-9BD3-BF0493517000}"/>
    <hyperlink ref="S232" r:id="rId231" xr:uid="{DDA0E20F-CE6E-44A2-944A-0B6E31192479}"/>
    <hyperlink ref="S233" r:id="rId232" xr:uid="{3136C7FC-F394-4A66-9554-08827176218D}"/>
    <hyperlink ref="S234" r:id="rId233" xr:uid="{2150BC79-BBD9-4750-A083-AC4ADFF0DB55}"/>
    <hyperlink ref="S235" r:id="rId234" xr:uid="{19928463-4ACC-472F-BC47-CD47D6375A8F}"/>
    <hyperlink ref="S236" r:id="rId235" xr:uid="{BB0E11EE-8EC9-4882-92BE-26F47864C7B7}"/>
    <hyperlink ref="S237" r:id="rId236" xr:uid="{70F227E6-0A40-4FE6-B690-3D26EF905D38}"/>
    <hyperlink ref="S238" r:id="rId237" xr:uid="{8FBFD98B-7E46-4019-A7B2-C95A08602D73}"/>
    <hyperlink ref="S239" r:id="rId238" xr:uid="{E5A2DE1A-F65E-4FA0-ACEA-09A0C599D9D1}"/>
    <hyperlink ref="S240" r:id="rId239" xr:uid="{8FA2600B-1BD2-4A07-B9AE-74FAD32B17B0}"/>
    <hyperlink ref="S241" r:id="rId240" xr:uid="{74B0A1F6-BBF8-415B-A1D0-1B674BE61AAC}"/>
    <hyperlink ref="S242" r:id="rId241" xr:uid="{4AA2AA60-4702-406C-ADF2-F54B17448AB2}"/>
    <hyperlink ref="S243" r:id="rId242" xr:uid="{B6B89DB4-61F3-4993-A598-FFFFC262D67E}"/>
    <hyperlink ref="S244" r:id="rId243" xr:uid="{FDE3EEF0-0866-4622-BEAD-55707FD01384}"/>
    <hyperlink ref="S245" r:id="rId244" xr:uid="{57FE2075-4194-4DEC-9739-090038C3B40D}"/>
    <hyperlink ref="S246" r:id="rId245" xr:uid="{38C183E7-C7D3-4C3F-A10E-DC7A95C12542}"/>
    <hyperlink ref="S247" r:id="rId246" xr:uid="{D763B41A-9195-4308-8B99-1EC0CAA50ECB}"/>
    <hyperlink ref="S248" r:id="rId247" xr:uid="{AEFFEAB3-26FE-4044-859D-6AC59ECDCB77}"/>
    <hyperlink ref="S249" r:id="rId248" xr:uid="{9C17DB6D-9DA6-41C4-A1F2-5DC26E682C20}"/>
    <hyperlink ref="S250" r:id="rId249" xr:uid="{F61AEAD0-D660-406D-A7D0-6FE915A469F7}"/>
    <hyperlink ref="S251" r:id="rId250" xr:uid="{5E26D04D-BBF8-455A-8A7D-332859CFB016}"/>
    <hyperlink ref="S252" r:id="rId251" xr:uid="{44CDD971-8E7B-4CF0-A0E5-3F934C374A6C}"/>
    <hyperlink ref="S253" r:id="rId252" xr:uid="{FCEB95FE-A5C5-4099-A5A0-3D2E4D112593}"/>
    <hyperlink ref="S254" r:id="rId253" xr:uid="{41EA6FF8-D2ED-4404-81E3-BF73A3B083CD}"/>
    <hyperlink ref="S255" r:id="rId254" xr:uid="{EE9FAFBC-8D79-41C9-B35A-E449792B4F12}"/>
    <hyperlink ref="S256" r:id="rId255" xr:uid="{15FFD428-19C9-4EA7-A184-561172BC86E5}"/>
    <hyperlink ref="S257" r:id="rId256" xr:uid="{ABBF5F37-431E-49F8-B427-7B538C8ED3CC}"/>
    <hyperlink ref="S258" r:id="rId257" xr:uid="{C5B9AF8C-2D46-4BCE-AAC7-0283E18945BA}"/>
    <hyperlink ref="S259" r:id="rId258" xr:uid="{6FD4E2BF-F3BE-47D4-A827-6D8EFED1CC64}"/>
    <hyperlink ref="S260" r:id="rId259" xr:uid="{6D3A5DE6-764F-45BD-B583-7652C0435E85}"/>
    <hyperlink ref="S261" r:id="rId260" xr:uid="{F1848AEA-78E8-41B5-BF46-3DE1D3F46267}"/>
    <hyperlink ref="S262" r:id="rId261" xr:uid="{6748D04A-FC5F-400D-B683-A332F052A5DC}"/>
    <hyperlink ref="S263" r:id="rId262" xr:uid="{5A33CD62-5754-4E76-835E-F1EAF6073FA1}"/>
    <hyperlink ref="S264" r:id="rId263" xr:uid="{87EE8AA6-558B-4F15-997B-44C527456354}"/>
    <hyperlink ref="S265" r:id="rId264" xr:uid="{6565FF75-117B-456A-8FA4-ABDEDC3F42E1}"/>
    <hyperlink ref="S266" r:id="rId265" xr:uid="{EDB2396B-99B0-41BD-A7CF-67EAB6539BDF}"/>
    <hyperlink ref="S267" r:id="rId266" xr:uid="{147793E2-48A6-470C-AFF9-CBA5E53AA9E1}"/>
    <hyperlink ref="S268" r:id="rId267" xr:uid="{8768DEF9-CCD6-428F-A913-9D38704E6C9E}"/>
    <hyperlink ref="S269" r:id="rId268" xr:uid="{776EE823-9B9F-435F-A080-1F7431B6E8B9}"/>
    <hyperlink ref="S270" r:id="rId269" xr:uid="{8477A699-F4FD-4E9B-AB89-767C6EDC36D3}"/>
    <hyperlink ref="S271" r:id="rId270" xr:uid="{86F07684-B6D2-4136-ADEE-5D8FD68DDC3B}"/>
    <hyperlink ref="S272" r:id="rId271" xr:uid="{C7422D79-AB51-47AC-9529-735BE0AC746A}"/>
    <hyperlink ref="S273" r:id="rId272" xr:uid="{7B12DD0B-7202-46AB-ADA3-D02EB599CF48}"/>
    <hyperlink ref="S274" r:id="rId273" xr:uid="{95CC9FAC-B009-411A-B90A-1787F7E1C728}"/>
    <hyperlink ref="S275" r:id="rId274" xr:uid="{2A20414B-63C1-432D-ADCC-48D5AE19CD8D}"/>
    <hyperlink ref="S276" r:id="rId275" xr:uid="{20524CA9-9267-4FBC-9698-117208EDE615}"/>
    <hyperlink ref="S277" r:id="rId276" xr:uid="{735FD364-5AA3-4F0C-82A1-43D7338D9172}"/>
    <hyperlink ref="S278" r:id="rId277" xr:uid="{D3797466-97C0-432C-AF85-8A4CD0E09674}"/>
    <hyperlink ref="S279" r:id="rId278" xr:uid="{17B12F24-A76B-4159-A880-C4E58C98FF88}"/>
    <hyperlink ref="S280" r:id="rId279" xr:uid="{3B345090-830A-4195-A708-737A9657A552}"/>
    <hyperlink ref="S281" r:id="rId280" xr:uid="{42E9F866-EC08-4E8B-B3E7-2BAFA45FDA9F}"/>
    <hyperlink ref="S282" r:id="rId281" xr:uid="{E842C303-7F81-400B-ABAB-16D9BF807E70}"/>
    <hyperlink ref="S283" r:id="rId282" xr:uid="{3DD9EBCB-EF42-4579-9078-126852B4EE47}"/>
    <hyperlink ref="S284" r:id="rId283" xr:uid="{FAB96AD4-B722-43D2-B453-B12B4BC2EC1D}"/>
    <hyperlink ref="S285" r:id="rId284" xr:uid="{6F431AAE-7A8E-4C6C-BDDF-134769B71713}"/>
    <hyperlink ref="S286" r:id="rId285" xr:uid="{0724B6F1-A25A-45BC-8331-53E0D03ED1D3}"/>
    <hyperlink ref="S287" r:id="rId286" xr:uid="{E1F5E517-2849-41DE-B56B-CA8B7FF913CF}"/>
    <hyperlink ref="S288" r:id="rId287" xr:uid="{10E74149-B35F-419A-9FC4-A23763EC59FE}"/>
    <hyperlink ref="S289" r:id="rId288" xr:uid="{5FEBD522-C771-474A-8E68-E80A2561DD63}"/>
    <hyperlink ref="S290" r:id="rId289" xr:uid="{BE1AD054-BEE1-4B45-8D39-9837533DFF80}"/>
    <hyperlink ref="S291" r:id="rId290" xr:uid="{B41C4009-823A-4598-8ABF-84C060F0EDF7}"/>
    <hyperlink ref="S292" r:id="rId291" xr:uid="{6D6D0686-2B42-44A4-BE92-6CEFDADDADFA}"/>
    <hyperlink ref="S293" r:id="rId292" xr:uid="{A27B9485-C47A-4FA2-BB9A-05C5FC4FECDF}"/>
    <hyperlink ref="S294" r:id="rId293" xr:uid="{E60B0FB8-06C8-406D-AABA-88F7B29E9116}"/>
    <hyperlink ref="S295" r:id="rId294" xr:uid="{E76D17E0-6B88-4EE4-9910-2370A4F9536A}"/>
    <hyperlink ref="S296" r:id="rId295" xr:uid="{A1D9544A-7A41-4DB9-BF85-A1DB98A6920C}"/>
    <hyperlink ref="S297" r:id="rId296" xr:uid="{868C4950-D69A-4D55-9674-21E930D3C4EE}"/>
    <hyperlink ref="S298" r:id="rId297" xr:uid="{67E56ACC-182F-4530-BA5F-E6E0CFBED1F5}"/>
    <hyperlink ref="S299" r:id="rId298" xr:uid="{C1238D6A-3BAD-43B9-8A77-F7A4759D25AF}"/>
    <hyperlink ref="S300" r:id="rId299" xr:uid="{BE525199-3D46-4163-AE86-40B59043852B}"/>
    <hyperlink ref="S301" r:id="rId300" xr:uid="{C2A329C2-F110-4D0F-B91A-22FB0FB1FB0E}"/>
    <hyperlink ref="S302" r:id="rId301" xr:uid="{E726622B-FACF-4EC4-A1BC-69270FC353F1}"/>
    <hyperlink ref="S303" r:id="rId302" xr:uid="{B2F65598-1CE6-4503-9D87-C2B9E75E3660}"/>
    <hyperlink ref="S304" r:id="rId303" xr:uid="{8664922F-2AAA-4660-A6BC-EF62C0D1A0BA}"/>
    <hyperlink ref="S305" r:id="rId304" xr:uid="{143D2B03-0B34-41BC-922C-BD6282D354F0}"/>
    <hyperlink ref="S306" r:id="rId305" xr:uid="{A625EA6D-C08B-49D9-A1DA-A40B6D88DD09}"/>
    <hyperlink ref="S307" r:id="rId306" xr:uid="{251D838E-81C9-4A62-8EA8-EA2946A3623E}"/>
    <hyperlink ref="S308" r:id="rId307" xr:uid="{1EE4B5FE-0152-48F7-8824-FECC72C5CAF2}"/>
    <hyperlink ref="S309" r:id="rId308" xr:uid="{AE8BDCED-E108-4FDE-A0C7-541A56AC265E}"/>
    <hyperlink ref="S310" r:id="rId309" xr:uid="{021E0A9E-2A6F-44A8-B951-0934E1102D75}"/>
    <hyperlink ref="S311" r:id="rId310" xr:uid="{7D3E54C9-4604-430B-A86F-D1D2AF2C432F}"/>
    <hyperlink ref="S312" r:id="rId311" xr:uid="{6C0CE10F-8EF2-4204-A513-9C6908FFB80D}"/>
    <hyperlink ref="S313" r:id="rId312" xr:uid="{305C81DD-782F-4E2D-8A5D-26DE0D4E44AF}"/>
    <hyperlink ref="S314" r:id="rId313" xr:uid="{3E07F05E-0EDE-43A5-99ED-760784D4363C}"/>
    <hyperlink ref="S315" r:id="rId314" xr:uid="{0B36AC36-8C7E-4624-94CE-4BAF82A1D764}"/>
    <hyperlink ref="S316" r:id="rId315" xr:uid="{80F13E43-3101-4F48-8CE3-27A51CC05041}"/>
    <hyperlink ref="S317" r:id="rId316" xr:uid="{783EA6D0-2BE4-4D52-8F26-A7203AA86D6B}"/>
    <hyperlink ref="S318" r:id="rId317" xr:uid="{F936BD00-8000-49F2-9870-3A687EA4A861}"/>
    <hyperlink ref="S319" r:id="rId318" xr:uid="{3D3DAEC4-0508-4662-85DA-BD5377E4444C}"/>
    <hyperlink ref="S320" r:id="rId319" xr:uid="{A0E86FDD-3941-45E1-B75D-D7991D8258E5}"/>
    <hyperlink ref="S321" r:id="rId320" xr:uid="{BF761EE0-CF05-4C5D-9BD7-E86030ABB28E}"/>
    <hyperlink ref="S322" r:id="rId321" xr:uid="{E49865F2-7A44-4440-8075-661B3E80E4ED}"/>
    <hyperlink ref="S323" r:id="rId322" xr:uid="{40B60303-66A8-4410-99EE-065BDBFD8850}"/>
    <hyperlink ref="S324" r:id="rId323" xr:uid="{CA91408B-23A0-4057-95E4-DFAA9E42B453}"/>
    <hyperlink ref="S325" r:id="rId324" xr:uid="{39814E6A-3EB1-419E-B9D0-CEEB0B9ED1FC}"/>
    <hyperlink ref="S326" r:id="rId325" xr:uid="{3D097C95-1C51-4ACC-A1AB-C64F840EF0F2}"/>
    <hyperlink ref="S327" r:id="rId326" xr:uid="{02BB6D14-1128-4C24-B039-E33C48B23C2D}"/>
    <hyperlink ref="S328" r:id="rId327" xr:uid="{50D2AA66-215C-4382-BFA8-48ED536BA801}"/>
    <hyperlink ref="S329" r:id="rId328" xr:uid="{20B9BBCA-701E-4F67-B914-CD582A259FD2}"/>
    <hyperlink ref="S330" r:id="rId329" xr:uid="{F8420D96-A9A1-424A-BD6A-111C9B53B0B6}"/>
    <hyperlink ref="S331" r:id="rId330" xr:uid="{7CC473AC-1B7C-4114-BD4B-B92C1AD1D52D}"/>
    <hyperlink ref="S332" r:id="rId331" xr:uid="{D6F61ACE-FBD5-43BE-996D-85EB60C77B47}"/>
    <hyperlink ref="S333" r:id="rId332" xr:uid="{C3FB94A5-3D9B-4498-8235-DCD18166A26E}"/>
    <hyperlink ref="S334" r:id="rId333" xr:uid="{694B3156-AAF0-4DD9-9B48-B40FCF18F66C}"/>
    <hyperlink ref="S335" r:id="rId334" xr:uid="{5A5ABE12-4E8D-4196-994E-85303388C127}"/>
    <hyperlink ref="S336" r:id="rId335" xr:uid="{2B685552-F12A-4F3E-A1CC-3C0FB89C5F16}"/>
    <hyperlink ref="S337" r:id="rId336" xr:uid="{74C3928D-C0AB-4194-8991-C5E468E0A7B5}"/>
    <hyperlink ref="S338" r:id="rId337" xr:uid="{6638D786-809F-4D6B-85B0-8952A336CB8E}"/>
    <hyperlink ref="S339" r:id="rId338" xr:uid="{3BCBD3A7-70C0-4F8E-89DC-7F2268E71216}"/>
    <hyperlink ref="S340" r:id="rId339" xr:uid="{4F797F62-CFA0-47E4-8420-F63ADA1A6865}"/>
    <hyperlink ref="S341" r:id="rId340" xr:uid="{9634266F-8F23-4247-86C3-53975C1697F3}"/>
    <hyperlink ref="S342" r:id="rId341" xr:uid="{729C028E-368F-41A0-9C81-C83B6841A81C}"/>
    <hyperlink ref="S343" r:id="rId342" xr:uid="{26C621B3-2490-4C05-A468-55AFDD6531C9}"/>
    <hyperlink ref="S344" r:id="rId343" xr:uid="{67E33553-D7C5-4AD1-B717-6B804EF473EA}"/>
    <hyperlink ref="S345" r:id="rId344" xr:uid="{EADAE70D-22CE-4F07-88EC-34A76E8E16A8}"/>
    <hyperlink ref="S346" r:id="rId345" xr:uid="{F10050B0-34C1-40D5-9E35-EEAD94B61FC2}"/>
    <hyperlink ref="S347" r:id="rId346" xr:uid="{52BE2DB0-7377-44E0-AAB8-6C963140572F}"/>
    <hyperlink ref="S348" r:id="rId347" xr:uid="{0C788E25-3E9D-4039-8E4C-DFC982B42FBF}"/>
    <hyperlink ref="S349" r:id="rId348" xr:uid="{9E221C9F-6E72-480E-BC62-1DE11A4685B9}"/>
    <hyperlink ref="S350" r:id="rId349" xr:uid="{BE4B2DCC-96F4-4D67-8CA8-2EAD1640EAFD}"/>
    <hyperlink ref="S351" r:id="rId350" xr:uid="{4D0654D1-56C7-4397-AB78-3827C98934CD}"/>
    <hyperlink ref="S352" r:id="rId351" xr:uid="{03061F82-CF15-42CD-AE67-626C019C8F02}"/>
    <hyperlink ref="S353" r:id="rId352" xr:uid="{24B47E35-03A0-4B99-B529-D895746A8E98}"/>
    <hyperlink ref="S354" r:id="rId353" xr:uid="{477249C0-810E-4177-933A-072D4D609721}"/>
    <hyperlink ref="S355" r:id="rId354" xr:uid="{4D1B1032-0611-47CF-8357-0F6545C9045C}"/>
    <hyperlink ref="S356" r:id="rId355" xr:uid="{C173DD87-06C4-43F9-80AB-8AF711210A43}"/>
    <hyperlink ref="S357" r:id="rId356" xr:uid="{08396C8C-472C-4469-82BE-250D53B36FA5}"/>
    <hyperlink ref="S358" r:id="rId357" xr:uid="{57C4DCF6-6A2E-4EDF-A9B1-B0C9905DB825}"/>
    <hyperlink ref="S359" r:id="rId358" xr:uid="{14E4BF24-6196-48E9-B8EB-355BF63F0DA8}"/>
    <hyperlink ref="S360" r:id="rId359" xr:uid="{F2FB49A2-6DB7-4B41-80D4-1A76E17CD4FC}"/>
    <hyperlink ref="S361" r:id="rId360" xr:uid="{3A61BF63-D0BA-4835-B78C-168D548718E3}"/>
    <hyperlink ref="S362" r:id="rId361" xr:uid="{46568779-05FD-4E06-9084-827C8C5B4813}"/>
    <hyperlink ref="S363" r:id="rId362" xr:uid="{C5D171AD-763C-41EF-A370-266C01478F6E}"/>
    <hyperlink ref="S364" r:id="rId363" xr:uid="{C6120511-3F7A-493A-ABD6-F1BD3E6D83B3}"/>
    <hyperlink ref="S365" r:id="rId364" xr:uid="{E103988E-5290-4A63-9C2B-A3E67D19A3EB}"/>
    <hyperlink ref="S366" r:id="rId365" xr:uid="{4B488B0F-C825-41CD-AD83-09E2D95C9D4E}"/>
    <hyperlink ref="S367" r:id="rId366" xr:uid="{2F5094ED-2A5C-421A-8A06-7620FD4C82DC}"/>
    <hyperlink ref="S368" r:id="rId367" xr:uid="{20C7DB12-4152-46A1-85E9-F1458598E73D}"/>
    <hyperlink ref="S369" r:id="rId368" xr:uid="{2B108D68-D771-4D13-8173-6180CD6DCE24}"/>
    <hyperlink ref="S370" r:id="rId369" xr:uid="{CEADA4AA-67C1-4700-8CEB-8687CCF9BB97}"/>
    <hyperlink ref="S371" r:id="rId370" xr:uid="{14D0A0B9-0BA6-47AD-86FA-91A7C5B656EA}"/>
    <hyperlink ref="S372" r:id="rId371" xr:uid="{6071DA86-F23A-446C-B5B8-773372DAE0D2}"/>
    <hyperlink ref="S373" r:id="rId372" xr:uid="{9D6FA802-A7A1-4539-AFD8-9670E930E0E7}"/>
    <hyperlink ref="S374" r:id="rId373" xr:uid="{1F8C5327-029E-4CD7-8C48-634BD19FDA51}"/>
    <hyperlink ref="S375" r:id="rId374" xr:uid="{64DB5E82-A1FA-4C28-99E8-081C82995C36}"/>
    <hyperlink ref="S376" r:id="rId375" xr:uid="{5BB581E2-DAE6-448C-A530-2C8538342C62}"/>
    <hyperlink ref="S377" r:id="rId376" xr:uid="{AB33D386-4AF5-40D7-A36F-267BC3A117E1}"/>
    <hyperlink ref="S378" r:id="rId377" xr:uid="{28BCE4E2-2EBE-4BFE-9247-A0B16E5975B0}"/>
    <hyperlink ref="S379" r:id="rId378" xr:uid="{F64FD6F0-0D0A-4BCE-803D-A74825F77F55}"/>
    <hyperlink ref="S380" r:id="rId379" xr:uid="{85C53A81-3CF3-49EE-AC36-61F32EFF1D0B}"/>
    <hyperlink ref="S381" r:id="rId380" xr:uid="{57BAFB14-A5FB-4C09-8AF2-62F2094CB7F4}"/>
    <hyperlink ref="S382" r:id="rId381" xr:uid="{4774AB76-7C34-427B-A816-E4511D3D6956}"/>
    <hyperlink ref="S383" r:id="rId382" xr:uid="{773BEBBB-9B20-4755-9B84-C843D4AD49BB}"/>
    <hyperlink ref="S384" r:id="rId383" xr:uid="{DD630274-5972-4913-BDCE-D801C976BCBA}"/>
    <hyperlink ref="S385" r:id="rId384" xr:uid="{9F1E1024-0F13-4906-A7C9-BC537E480101}"/>
    <hyperlink ref="S386" r:id="rId385" xr:uid="{FE548A88-E82E-45A5-AD5E-8960E0AE2871}"/>
    <hyperlink ref="S387" r:id="rId386" xr:uid="{079E19F1-7301-4843-A622-1CF7A6442268}"/>
    <hyperlink ref="S388" r:id="rId387" xr:uid="{F5874B05-61CF-45B9-B144-5431C2214FE4}"/>
    <hyperlink ref="S389" r:id="rId388" xr:uid="{A091B624-C22F-414D-B1C0-0604ABEA94AE}"/>
    <hyperlink ref="S390" r:id="rId389" xr:uid="{8123B56C-25AE-417D-B9F0-8CC18A39AFF2}"/>
    <hyperlink ref="S391" r:id="rId390" xr:uid="{3A0407DE-DC14-4DFF-807B-5A14CBBBEF44}"/>
    <hyperlink ref="S392" r:id="rId391" xr:uid="{3044B3BA-E1C5-4144-BDE3-EB675DA995F6}"/>
    <hyperlink ref="S393" r:id="rId392" xr:uid="{E0F30DD5-070A-4A5F-8895-20830597818F}"/>
    <hyperlink ref="S394" r:id="rId393" xr:uid="{97740084-84C6-45BD-A1C2-909BF6F75EF0}"/>
    <hyperlink ref="S395" r:id="rId394" xr:uid="{20B6688A-7DFF-4DCC-B34F-B648F7D6B008}"/>
    <hyperlink ref="S396" r:id="rId395" xr:uid="{B6C02ABB-60A8-42A4-96A2-2CBF35ECC515}"/>
    <hyperlink ref="S397" r:id="rId396" xr:uid="{85376AB8-C036-457A-B770-94E23BFE375B}"/>
    <hyperlink ref="S398" r:id="rId397" xr:uid="{6005F1CA-DD89-495A-BA72-1903F223BA1F}"/>
    <hyperlink ref="S399" r:id="rId398" xr:uid="{B07068FA-B5DD-4A06-AD5D-AAEFE95642B8}"/>
    <hyperlink ref="S400" r:id="rId399" xr:uid="{3C5CCB91-C32A-4683-A25A-0EC6AEDF68AF}"/>
    <hyperlink ref="S401" r:id="rId400" xr:uid="{35C2E6F1-F321-4886-A82B-B6397A554E3C}"/>
    <hyperlink ref="S402" r:id="rId401" xr:uid="{354D6FE8-D977-41FD-8259-275D8BD87DDB}"/>
    <hyperlink ref="S403" r:id="rId402" xr:uid="{1FF7717E-D206-4B8C-8850-4ADC64A995B8}"/>
    <hyperlink ref="S404" r:id="rId403" xr:uid="{A77694AC-57C9-429B-8648-72ACDE3EC9A8}"/>
    <hyperlink ref="S405" r:id="rId404" xr:uid="{806FE28B-1EC6-4FD4-95E7-4CCFB8F9C81B}"/>
    <hyperlink ref="S406" r:id="rId405" xr:uid="{2E6A3A1F-AF9B-449F-9186-702AE6B5E79C}"/>
    <hyperlink ref="S407" r:id="rId406" xr:uid="{9B389E05-8B7D-462C-9B97-4B05C83CAD7E}"/>
    <hyperlink ref="S408" r:id="rId407" xr:uid="{C8B3D350-6674-4929-B9A9-94AFEBFA2E72}"/>
    <hyperlink ref="S409" r:id="rId408" xr:uid="{DFBF3EF1-7916-4DAE-85BB-B19F0D32CC58}"/>
    <hyperlink ref="S410" r:id="rId409" xr:uid="{B42B3F9A-DD0C-47A7-A994-7DE7F9160F5F}"/>
    <hyperlink ref="S411" r:id="rId410" xr:uid="{52BD2C5D-99FF-4957-AE87-6719693AB0D4}"/>
    <hyperlink ref="S412" r:id="rId411" xr:uid="{19D19E5B-90EE-4445-841C-FB59B4E9B9D0}"/>
    <hyperlink ref="S413" r:id="rId412" xr:uid="{CDD0E953-24BC-4336-87C2-00DFB12A37F0}"/>
    <hyperlink ref="S414" r:id="rId413" xr:uid="{84B297F2-3529-410A-8C93-4A8DEFB813DD}"/>
    <hyperlink ref="S415" r:id="rId414" xr:uid="{762AA2D6-615A-4A88-87E0-B93FEE5E2C23}"/>
    <hyperlink ref="S416" r:id="rId415" xr:uid="{09F2EF62-2C79-456E-8903-98F75B769601}"/>
    <hyperlink ref="S417" r:id="rId416" xr:uid="{808AD6B4-25AB-4E2E-947F-8481DA8C2A1A}"/>
    <hyperlink ref="S418" r:id="rId417" xr:uid="{589A74C9-5D9A-4126-8362-4AB9A51A12A3}"/>
    <hyperlink ref="S419" r:id="rId418" xr:uid="{4A97B67E-2011-4A17-87B4-DB6B92FF895B}"/>
    <hyperlink ref="S420" r:id="rId419" xr:uid="{C075F794-EBA9-464D-8753-4ECDEA0FC504}"/>
    <hyperlink ref="S421" r:id="rId420" xr:uid="{DC9BDBB3-02C0-42C2-8A2A-3353570FCD20}"/>
    <hyperlink ref="S422" r:id="rId421" xr:uid="{77A5DFC4-39E5-4386-9488-36C6D69DBD7C}"/>
    <hyperlink ref="S423" r:id="rId422" xr:uid="{4B14547F-4C30-4EC5-8FA9-A7CCD27368C8}"/>
    <hyperlink ref="S424" r:id="rId423" xr:uid="{F3767AD5-3017-4D90-A0FD-531819314CF9}"/>
    <hyperlink ref="S425" r:id="rId424" xr:uid="{9203B6B9-ECB9-4589-99D7-B9A361877C1E}"/>
    <hyperlink ref="S426" r:id="rId425" xr:uid="{22930CD0-79D0-41D3-9078-3DA1F7E70562}"/>
    <hyperlink ref="S427" r:id="rId426" xr:uid="{AE33376C-9D3C-4B48-BCBE-3194BF4887CE}"/>
    <hyperlink ref="S428" r:id="rId427" xr:uid="{11F8A430-E729-44DF-A4C1-6171D6CE14FF}"/>
    <hyperlink ref="S429" r:id="rId428" xr:uid="{28A36CC3-D34F-4097-B083-2DB3E2BBA47E}"/>
    <hyperlink ref="S430" r:id="rId429" xr:uid="{9C395242-E5F1-49AA-87A1-38020568B322}"/>
    <hyperlink ref="S431" r:id="rId430" xr:uid="{711DE729-66CA-4698-A925-049ACAFBC2B4}"/>
    <hyperlink ref="S432" r:id="rId431" xr:uid="{EE1DE816-CB6A-4C01-9E1A-DF43BD6756CA}"/>
    <hyperlink ref="S433" r:id="rId432" xr:uid="{D81BCF12-FEE3-4BC8-B09A-64EA089FBBA6}"/>
    <hyperlink ref="S434" r:id="rId433" xr:uid="{4B3F7A4B-E8C3-44D2-9B48-B03825822586}"/>
    <hyperlink ref="S435" r:id="rId434" xr:uid="{FF0F0D2B-FD04-4C8C-A04D-7F5AC103FDCC}"/>
    <hyperlink ref="S436" r:id="rId435" xr:uid="{A45877D1-9827-4827-8122-43249979D857}"/>
    <hyperlink ref="S437" r:id="rId436" xr:uid="{3CE740C4-7F22-4067-8F56-8161A97F30C0}"/>
    <hyperlink ref="S438" r:id="rId437" xr:uid="{AA4C5618-7F5B-45A6-966E-71A2973CD7E6}"/>
    <hyperlink ref="S439" r:id="rId438" xr:uid="{2E23B07E-6CF3-4C74-A774-9AF4D8FE74C3}"/>
    <hyperlink ref="S440" r:id="rId439" xr:uid="{0616C7B7-605F-446C-B6A1-2C827B785DEB}"/>
    <hyperlink ref="S441" r:id="rId440" xr:uid="{1340A9F4-3C25-4C3F-A231-08342DD0E9D6}"/>
    <hyperlink ref="S442" r:id="rId441" xr:uid="{EE790030-A3F7-4747-AF6B-8AF7E30E53C9}"/>
    <hyperlink ref="S443" r:id="rId442" xr:uid="{51A1579A-05B4-487E-9036-50F1764B6232}"/>
    <hyperlink ref="S444" r:id="rId443" xr:uid="{180375EF-DE9D-45C0-BA03-72E92D645705}"/>
    <hyperlink ref="S445" r:id="rId444" xr:uid="{813D30ED-6E96-4F29-BF3E-39448FF3007A}"/>
    <hyperlink ref="S446" r:id="rId445" xr:uid="{0D39EC6C-574A-4B71-A38F-429F0151CB4F}"/>
    <hyperlink ref="S447" r:id="rId446" xr:uid="{91D2BD36-EEE1-468D-B3F3-83820B52F5E1}"/>
    <hyperlink ref="S448" r:id="rId447" xr:uid="{76484FC0-215D-436F-B844-0C2D302C8020}"/>
    <hyperlink ref="S449" r:id="rId448" xr:uid="{421CC469-771D-4F66-84FB-EE4F6882FBAD}"/>
    <hyperlink ref="S450" r:id="rId449" xr:uid="{C5EB99A4-3867-41EF-83F3-15366E7FC8DA}"/>
    <hyperlink ref="S451" r:id="rId450" xr:uid="{09F951A1-382B-4B2B-B8E7-50F66FB20E28}"/>
    <hyperlink ref="S452" r:id="rId451" xr:uid="{B86D1E00-66B8-4565-B415-0F6CA9B7F811}"/>
    <hyperlink ref="S453" r:id="rId452" xr:uid="{6902B000-1888-42CC-A56D-F2066EB3967A}"/>
    <hyperlink ref="S454" r:id="rId453" xr:uid="{4E478D86-F3EA-4D99-9B72-1F065C06FECA}"/>
    <hyperlink ref="S455" r:id="rId454" xr:uid="{EFE7F8D9-DD57-4902-8C50-C8D8927A57E7}"/>
    <hyperlink ref="S456" r:id="rId455" xr:uid="{6151DDCF-0EF3-4CCE-9C3B-161C71551253}"/>
    <hyperlink ref="S457" r:id="rId456" xr:uid="{3AB2072A-464F-49C7-B2E0-410CA1D4F114}"/>
    <hyperlink ref="S458" r:id="rId457" xr:uid="{E1EAA43E-A5A7-43A6-890B-EA2D53DDEEB2}"/>
    <hyperlink ref="S459" r:id="rId458" xr:uid="{638751FC-9DAA-419C-95F9-A1FF8EDC213F}"/>
    <hyperlink ref="S460" r:id="rId459" xr:uid="{536B7C03-52F9-4349-B1A8-044B524EF672}"/>
    <hyperlink ref="S461" r:id="rId460" xr:uid="{D047CBD1-BEC3-46B4-ABF0-4E8F9EBB3757}"/>
    <hyperlink ref="S462" r:id="rId461" xr:uid="{2E229CA3-B0F6-46F9-AF5C-CBAC8C3F188E}"/>
    <hyperlink ref="S463" r:id="rId462" xr:uid="{F6C2D6B1-476B-4033-BCF0-D0F0E6CF7E6F}"/>
    <hyperlink ref="S464" r:id="rId463" xr:uid="{8BB54B0A-DB3E-46C4-AC31-7DA729D7C63F}"/>
    <hyperlink ref="S465" r:id="rId464" xr:uid="{3D32AA1F-1ABC-4B6C-BFD9-9E283C982741}"/>
    <hyperlink ref="S466" r:id="rId465" xr:uid="{47D8A8E7-A901-4C07-A73A-4F2A0E27A7DC}"/>
    <hyperlink ref="S467" r:id="rId466" xr:uid="{8D733777-132C-4CE8-90C2-99A53283E4D1}"/>
    <hyperlink ref="S468" r:id="rId467" xr:uid="{201A9B70-187B-4E43-96ED-2D61D273EB6E}"/>
    <hyperlink ref="S469" r:id="rId468" xr:uid="{C4B8E63E-4085-4A85-BB2A-E3E6EC0E2F71}"/>
    <hyperlink ref="S470" r:id="rId469" xr:uid="{5A27170D-708B-4C35-B18C-CD55809D2301}"/>
    <hyperlink ref="S471" r:id="rId470" xr:uid="{E11509F9-35E5-4DE9-852F-D3A66DDA8E77}"/>
    <hyperlink ref="S472" r:id="rId471" xr:uid="{3FC20908-F585-4A2B-8A1A-B1EE3AC30B2F}"/>
    <hyperlink ref="S473" r:id="rId472" xr:uid="{29AE179B-2FEB-46A6-9887-9DDC0E1D0B1D}"/>
    <hyperlink ref="S474" r:id="rId473" xr:uid="{543AEF43-DC62-40A9-A070-2069308A83D1}"/>
    <hyperlink ref="S475" r:id="rId474" xr:uid="{684EB949-35DF-4074-81E3-6EFE30A985B5}"/>
    <hyperlink ref="S476" r:id="rId475" xr:uid="{9814B82B-047C-4457-ACF5-9B72E1915382}"/>
    <hyperlink ref="S477" r:id="rId476" xr:uid="{16992ED2-CAD6-46E5-B6B1-DC0D073D68C2}"/>
    <hyperlink ref="S478" r:id="rId477" xr:uid="{1441B11D-1521-48AA-9CBE-26F5F0E910B9}"/>
    <hyperlink ref="S479" r:id="rId478" xr:uid="{FDD8766F-D212-4A8F-A317-8B5596FCB477}"/>
    <hyperlink ref="S480" r:id="rId479" xr:uid="{86534134-577E-4C04-A36D-EEE522E2562D}"/>
    <hyperlink ref="S481" r:id="rId480" xr:uid="{98D93B13-AF2D-48E1-81BB-3E8DF50C960E}"/>
    <hyperlink ref="S482" r:id="rId481" xr:uid="{EF5AEAAF-7E52-4DE2-A4C3-F5072C3FBBB9}"/>
    <hyperlink ref="S483" r:id="rId482" xr:uid="{A5692F0D-8D6B-4BF9-8B90-132239B1ED40}"/>
    <hyperlink ref="S484" r:id="rId483" xr:uid="{7205855A-6AF8-46DC-AC36-4647242D047F}"/>
    <hyperlink ref="S485" r:id="rId484" xr:uid="{1B6C0025-D7F2-4FD1-AFB4-4DD54C135C05}"/>
    <hyperlink ref="S486" r:id="rId485" xr:uid="{D920CF0F-9DD9-4052-B7C4-9BFAF6A03F04}"/>
    <hyperlink ref="S487" r:id="rId486" xr:uid="{BC326D78-D231-45F1-AB64-AA9F3B78737F}"/>
    <hyperlink ref="S488" r:id="rId487" xr:uid="{5ADCAAE1-C929-458D-8B99-AA06ABC91367}"/>
    <hyperlink ref="S489" r:id="rId488" xr:uid="{A463A351-A789-4B47-BC9B-3C5461AE9C33}"/>
    <hyperlink ref="S490" r:id="rId489" xr:uid="{AE78F1F2-E90D-4FA6-A691-825ED6E25998}"/>
    <hyperlink ref="S491" r:id="rId490" xr:uid="{42741855-C0E2-487C-9813-2F9EEB162804}"/>
    <hyperlink ref="S492" r:id="rId491" xr:uid="{8D0C7F5A-34B5-49A2-ABBA-A62B2C33754A}"/>
    <hyperlink ref="S493" r:id="rId492" xr:uid="{D3957E25-D2B2-45B9-BF77-66C6AB9C99CC}"/>
    <hyperlink ref="S494" r:id="rId493" xr:uid="{0A759DED-5B6F-4039-8A00-FEDE534351C7}"/>
    <hyperlink ref="S495" r:id="rId494" xr:uid="{ECB19B30-453B-4A56-B708-7491C3387517}"/>
    <hyperlink ref="S496" r:id="rId495" xr:uid="{FAC3CB16-897E-4808-8C09-661772936FF4}"/>
    <hyperlink ref="S497" r:id="rId496" xr:uid="{B479DDB3-A1BE-4A7B-8BA7-32D1F216A777}"/>
    <hyperlink ref="S498" r:id="rId497" xr:uid="{E0C9B7DC-4988-4F8C-9196-5A903B48F25E}"/>
    <hyperlink ref="S499" r:id="rId498" xr:uid="{AD29796A-A623-4AB8-A266-142A7A9A239F}"/>
    <hyperlink ref="S500" r:id="rId499" xr:uid="{618EC0AB-6B24-4350-B76E-E11D5F593456}"/>
    <hyperlink ref="S501" r:id="rId500" xr:uid="{70492C44-A38E-4E6F-93E2-30760E058FD7}"/>
    <hyperlink ref="S502" r:id="rId501" xr:uid="{40E74419-E225-4518-83FA-1264C834055F}"/>
    <hyperlink ref="S503" r:id="rId502" xr:uid="{E9CCCB80-D709-48C9-9C4E-2C43CF3F4B13}"/>
    <hyperlink ref="S504" r:id="rId503" xr:uid="{D9987D66-D984-4BDF-94FC-F0187D3F4AE7}"/>
    <hyperlink ref="S505" r:id="rId504" xr:uid="{C380ADAD-3FA7-4D1D-8587-72F54EE7DBE7}"/>
    <hyperlink ref="S506" r:id="rId505" xr:uid="{7486658A-342A-47B3-A9C0-FDFD10E1A5AA}"/>
    <hyperlink ref="S507" r:id="rId506" xr:uid="{3BB9B3E2-CB6D-4065-AACC-32D18B934B6F}"/>
    <hyperlink ref="S508" r:id="rId507" xr:uid="{592C42C9-9309-466A-A39B-94769FD46FC6}"/>
    <hyperlink ref="S509" r:id="rId508" xr:uid="{7D82C571-F28F-4776-B499-D45575C5FB48}"/>
    <hyperlink ref="S510" r:id="rId509" xr:uid="{0E67A896-53FD-4C88-B435-A083C35BD595}"/>
    <hyperlink ref="S511" r:id="rId510" xr:uid="{C5C61454-18B9-42B7-BF93-8C555F6A907F}"/>
    <hyperlink ref="S512" r:id="rId511" xr:uid="{944A1168-D335-45DF-BE00-839A878BD5C9}"/>
    <hyperlink ref="S513" r:id="rId512" xr:uid="{DDEE1514-E125-459A-9E1D-4D0F01E3E8AE}"/>
    <hyperlink ref="S514" r:id="rId513" xr:uid="{EF99B16E-A612-4EB3-A5D5-6CCCDAB140BB}"/>
    <hyperlink ref="S515" r:id="rId514" xr:uid="{F6DEF244-79AB-4E0C-A44D-B098A895E3D3}"/>
    <hyperlink ref="S516" r:id="rId515" xr:uid="{4BA11C45-E2B9-479E-8C9B-DB8C3E05A3CD}"/>
    <hyperlink ref="S517" r:id="rId516" xr:uid="{711D1F75-6B51-4CCA-9B35-C92F96D6A5FC}"/>
    <hyperlink ref="S518" r:id="rId517" xr:uid="{6B647720-D8D1-40D0-A4F8-FCAC40E6B90B}"/>
    <hyperlink ref="S519" r:id="rId518" xr:uid="{4221AE46-DCC1-46E4-9E44-E09B29E8EF07}"/>
    <hyperlink ref="S520" r:id="rId519" xr:uid="{050094B3-137D-4B8F-AC7F-501364D502B0}"/>
    <hyperlink ref="S521" r:id="rId520" xr:uid="{A0E28959-C699-4B54-BFCA-8E8E3B9861FF}"/>
    <hyperlink ref="S522" r:id="rId521" xr:uid="{8A3B05CE-5F01-4822-915F-CABF27390339}"/>
    <hyperlink ref="S523" r:id="rId522" xr:uid="{18969905-E98B-4F88-8072-56BD2FDB4C43}"/>
    <hyperlink ref="S524" r:id="rId523" xr:uid="{A36C43A8-9C2E-47AA-BC39-623C5328DA76}"/>
    <hyperlink ref="S525" r:id="rId524" xr:uid="{80A92287-9313-4833-AF4D-EADFF43BC9D7}"/>
    <hyperlink ref="S526" r:id="rId525" xr:uid="{CEE8166D-0C6E-4BBB-868A-44CEC67B0EDC}"/>
    <hyperlink ref="S527" r:id="rId526" xr:uid="{C319A284-1A5D-4C71-9E28-46ED8A04EFE9}"/>
    <hyperlink ref="S528" r:id="rId527" xr:uid="{6C4F6F52-666E-4E5D-8833-F920AB80C32F}"/>
    <hyperlink ref="S529" r:id="rId528" xr:uid="{58B7C5E7-3D03-4C2A-9D6B-C4EE7463C0F2}"/>
    <hyperlink ref="S530" r:id="rId529" xr:uid="{4B33ADD5-EAD9-4AD4-99D2-40F089B5E28A}"/>
    <hyperlink ref="S531" r:id="rId530" xr:uid="{AA672809-6C2D-49E6-90CF-F52D978733E1}"/>
    <hyperlink ref="S532" r:id="rId531" xr:uid="{E36BC107-6468-46D1-A164-5E385789ED13}"/>
    <hyperlink ref="S533" r:id="rId532" xr:uid="{05B26682-D28C-4898-BCBA-12B117EED1C3}"/>
    <hyperlink ref="S534" r:id="rId533" xr:uid="{277502FA-74D5-4827-B736-8C2DCF207A42}"/>
    <hyperlink ref="S535" r:id="rId534" xr:uid="{D45A531A-2242-4AF6-AA0F-8ABD37462626}"/>
    <hyperlink ref="S536" r:id="rId535" xr:uid="{240D09BF-D084-4F29-8E20-5309C015E24A}"/>
    <hyperlink ref="S537" r:id="rId536" xr:uid="{D66A51E4-8F95-4A1E-A99E-FAB0914A22E9}"/>
    <hyperlink ref="S538" r:id="rId537" xr:uid="{1EEF8A64-1C85-42A0-BB08-7A3D79B6EF17}"/>
    <hyperlink ref="S539" r:id="rId538" xr:uid="{0A21558B-667E-47DB-BA94-3C37AA6989E8}"/>
    <hyperlink ref="S540" r:id="rId539" xr:uid="{F7EF23AA-AD5C-4273-AFCF-3E214E6814E2}"/>
    <hyperlink ref="S541" r:id="rId540" xr:uid="{D4883DBA-8C8A-45F1-9376-CB750E836DDC}"/>
    <hyperlink ref="S542" r:id="rId541" xr:uid="{AE01769F-8083-43A7-B9A9-A9225FEF10BD}"/>
    <hyperlink ref="S543" r:id="rId542" xr:uid="{27D2E04A-5EBC-4E98-9D09-D16C6DF159F3}"/>
    <hyperlink ref="S544" r:id="rId543" xr:uid="{59946DFC-0E36-4156-B48A-5D7B047390FE}"/>
    <hyperlink ref="S545" r:id="rId544" xr:uid="{ED7D1B89-63C0-43D3-9B57-59BFCF146407}"/>
    <hyperlink ref="S546" r:id="rId545" xr:uid="{2052EB42-BE93-46C3-94E5-ACB735791FE0}"/>
    <hyperlink ref="S547" r:id="rId546" xr:uid="{976BADC6-C8A5-4532-8A5D-1F7499A98ED5}"/>
    <hyperlink ref="S548" r:id="rId547" xr:uid="{D82EF09C-8734-4B6D-8E27-A31D7C987A9C}"/>
    <hyperlink ref="S549" r:id="rId548" xr:uid="{A8C0B132-2148-46CA-ABF4-9051A4705E6A}"/>
    <hyperlink ref="S550" r:id="rId549" xr:uid="{482E159E-1559-4A38-878B-E073DD6490EB}"/>
    <hyperlink ref="S551" r:id="rId550" xr:uid="{25859799-C9ED-42F0-971C-3C2C346D1E6B}"/>
    <hyperlink ref="S552" r:id="rId551" xr:uid="{FA75FCE6-D71A-474B-ACC5-746731CF9DCB}"/>
    <hyperlink ref="S553" r:id="rId552" xr:uid="{4D110B74-B6F4-418B-A94D-0663541ED7EE}"/>
    <hyperlink ref="S554" r:id="rId553" xr:uid="{714BD061-80D1-41A6-8B21-2757D483DFE4}"/>
    <hyperlink ref="S555" r:id="rId554" xr:uid="{F0563454-D9B9-4840-BE44-97732A825E57}"/>
    <hyperlink ref="S556" r:id="rId555" xr:uid="{A3CDC4DA-5576-4207-9E59-439EABA303CD}"/>
    <hyperlink ref="S557" r:id="rId556" xr:uid="{7554A163-FD69-4E7A-92E8-05324386C2E1}"/>
    <hyperlink ref="S558" r:id="rId557" xr:uid="{73F8024E-8B0F-4B06-84BC-FCD7A3AAE363}"/>
    <hyperlink ref="S559" r:id="rId558" xr:uid="{66C14AC4-16FD-431C-889E-A855FEA81E7F}"/>
    <hyperlink ref="S560" r:id="rId559" xr:uid="{9F92065C-AC17-4B33-9CEE-9F8B1B8944C0}"/>
    <hyperlink ref="S561" r:id="rId560" xr:uid="{F04006F6-FDE0-44E8-98B9-B23B16B80615}"/>
    <hyperlink ref="S562" r:id="rId561" xr:uid="{8A34970C-B953-4B54-A449-079ABBBBE407}"/>
    <hyperlink ref="S563" r:id="rId562" xr:uid="{F7A24298-8578-46A8-87BD-F84D2940F8B5}"/>
    <hyperlink ref="S564" r:id="rId563" xr:uid="{16D249A2-2843-4A46-8B55-61F7DE16645C}"/>
    <hyperlink ref="S565" r:id="rId564" xr:uid="{5FF7E838-24DE-41DD-9609-4832496FA668}"/>
    <hyperlink ref="S566" r:id="rId565" xr:uid="{20F8AA32-8408-4975-9CA7-509983A3E19E}"/>
    <hyperlink ref="S567" r:id="rId566" xr:uid="{533C0206-DE9E-4048-B3A2-2334744A3376}"/>
    <hyperlink ref="S568" r:id="rId567" xr:uid="{8EC022AF-1297-49DD-A04B-62A968076CE3}"/>
    <hyperlink ref="S569" r:id="rId568" xr:uid="{209C9ACE-A2BC-464D-A311-61BA7B0A8281}"/>
    <hyperlink ref="S570" r:id="rId569" xr:uid="{106AE5E4-C602-4D66-A283-3C4058FEDC15}"/>
    <hyperlink ref="S571" r:id="rId570" xr:uid="{806B2297-33F0-414B-B6D3-2072AEDAEAC1}"/>
    <hyperlink ref="S572" r:id="rId571" xr:uid="{D352526C-EFE4-4C44-A141-E8EFFC6519B0}"/>
    <hyperlink ref="S573" r:id="rId572" xr:uid="{C59AF47B-2B4A-490C-B325-48FC15C44333}"/>
    <hyperlink ref="S574" r:id="rId573" xr:uid="{8DC77F49-B694-4F88-B034-C902239AE975}"/>
    <hyperlink ref="S575" r:id="rId574" xr:uid="{6043F04C-3F69-4C0E-9298-6B2AA7276C27}"/>
    <hyperlink ref="S576" r:id="rId575" xr:uid="{D73D5264-F2F1-4ABC-834D-2E0D0538B2F2}"/>
    <hyperlink ref="S577" r:id="rId576" xr:uid="{6DD03A57-C07B-49D2-8DCC-3A9B36A9BEE5}"/>
    <hyperlink ref="S578" r:id="rId577" xr:uid="{8F38359D-EF9F-4225-8F06-E40156681FB6}"/>
    <hyperlink ref="S579" r:id="rId578" xr:uid="{C2219897-0992-4E0D-90BD-4437DD9C1371}"/>
    <hyperlink ref="S580" r:id="rId579" xr:uid="{E0EFBA09-4777-4F3E-922C-9A70558196BC}"/>
    <hyperlink ref="S581" r:id="rId580" xr:uid="{3EB02BFF-D2AA-4338-B961-A3FF5BF712AE}"/>
    <hyperlink ref="S582" r:id="rId581" xr:uid="{5FEAAC85-14F9-46FC-BBF1-0A52E4348114}"/>
    <hyperlink ref="S583" r:id="rId582" xr:uid="{77A54939-6703-443C-9681-1088A965B69B}"/>
    <hyperlink ref="S584" r:id="rId583" xr:uid="{EB1BF98D-78DE-46B5-A62A-D7152374DD00}"/>
    <hyperlink ref="S585" r:id="rId584" xr:uid="{1FFB9715-6877-4D1D-ADF7-C9E117685686}"/>
    <hyperlink ref="S586" r:id="rId585" xr:uid="{B55869E3-0DD2-4050-8757-FE65ACC89910}"/>
    <hyperlink ref="S587" r:id="rId586" xr:uid="{422B827E-2C9B-4F1B-A708-9A86C3BD5909}"/>
    <hyperlink ref="S588" r:id="rId587" xr:uid="{1D601638-CA70-4396-8687-CEA5ADDAA2B9}"/>
    <hyperlink ref="S589" r:id="rId588" xr:uid="{58DEC98C-3496-4509-9474-920AC5D70542}"/>
    <hyperlink ref="S590" r:id="rId589" xr:uid="{D92F5189-311A-4CB6-8D28-655E39441711}"/>
    <hyperlink ref="S591" r:id="rId590" xr:uid="{133A5948-272A-4BDB-A503-405C9D8D94CD}"/>
    <hyperlink ref="S592" r:id="rId591" xr:uid="{5B7F53BF-771B-4FE0-B9F1-08B7FC62F105}"/>
    <hyperlink ref="S593" r:id="rId592" xr:uid="{A0E88F76-F086-4E61-86FE-E31493AFE3B9}"/>
    <hyperlink ref="S594" r:id="rId593" xr:uid="{855996CA-55FD-4127-9210-8766BA15EED4}"/>
    <hyperlink ref="S595" r:id="rId594" xr:uid="{01C7F563-A250-4109-951E-4C32B73A7D05}"/>
    <hyperlink ref="S596" r:id="rId595" xr:uid="{20B2236F-BF02-4BE3-816C-A20BD845858E}"/>
    <hyperlink ref="S597" r:id="rId596" xr:uid="{8ECB1705-407C-4490-9310-78D934627F4D}"/>
    <hyperlink ref="S598" r:id="rId597" xr:uid="{D91ACF54-60B7-4D4A-BD11-D22E01AA4645}"/>
    <hyperlink ref="S599" r:id="rId598" xr:uid="{0EEF654C-FE5D-42CE-9A6B-C9510DBCFF0E}"/>
    <hyperlink ref="S600" r:id="rId599" xr:uid="{5B0C79AA-B804-42F0-9A3F-61182057F6BE}"/>
    <hyperlink ref="S601" r:id="rId600" xr:uid="{3E43C430-E465-4D69-8AF4-C3AE3AC9A33C}"/>
    <hyperlink ref="S602" r:id="rId601" xr:uid="{8CD3E4FF-CFE5-4997-8AE0-685F04028925}"/>
    <hyperlink ref="S603" r:id="rId602" xr:uid="{BA4E2316-2A1B-4838-9E1F-C63A5D967503}"/>
    <hyperlink ref="S604" r:id="rId603" xr:uid="{9F7BCD1A-F63E-4D75-9E1F-DC0BB6D41657}"/>
    <hyperlink ref="S605" r:id="rId604" xr:uid="{8F0970AF-7E67-40D7-A67A-69503D210A78}"/>
    <hyperlink ref="S606" r:id="rId605" xr:uid="{87795BCD-EFF9-475A-88E5-629A8625C96E}"/>
    <hyperlink ref="S607" r:id="rId606" xr:uid="{8B510882-B494-4378-9F9B-B67E329A1453}"/>
    <hyperlink ref="S608" r:id="rId607" xr:uid="{894512D3-BC13-4AF2-AE18-3AD2AAD9AC61}"/>
    <hyperlink ref="S609" r:id="rId608" xr:uid="{409811C7-B278-4144-88F8-4CC20415ACBD}"/>
    <hyperlink ref="S610" r:id="rId609" xr:uid="{BAEB9820-5697-4270-988F-3DD8135512D2}"/>
    <hyperlink ref="S611" r:id="rId610" xr:uid="{3AF33FC5-64E3-4F59-BF82-75CE8F71EB88}"/>
    <hyperlink ref="S612" r:id="rId611" xr:uid="{2DFF818F-40E3-40BA-9B08-937AB246EDAC}"/>
    <hyperlink ref="S613" r:id="rId612" xr:uid="{EF975151-4681-4A4D-AB6F-4B7A9EF2626A}"/>
    <hyperlink ref="S614" r:id="rId613" xr:uid="{A6786459-2281-41A6-BE05-D75A09FB603A}"/>
    <hyperlink ref="S615" r:id="rId614" xr:uid="{D43CA55C-02EF-494F-BC25-9A3EDE402109}"/>
    <hyperlink ref="S616" r:id="rId615" xr:uid="{05C1C31F-BF19-4C72-9681-D76B2D86D6CB}"/>
    <hyperlink ref="S617" r:id="rId616" xr:uid="{9B393290-15E5-44A4-A4A0-E5B8BDBB39DB}"/>
    <hyperlink ref="S618" r:id="rId617" xr:uid="{DFB0760F-D48D-479D-B8C1-81F8F655F469}"/>
    <hyperlink ref="S619" r:id="rId618" xr:uid="{ECA43B9A-1FDE-4F1E-9BF9-C69EF6EB5437}"/>
    <hyperlink ref="S620" r:id="rId619" xr:uid="{7D29CBC9-7B47-4C32-B34F-EFDD2B4C820B}"/>
    <hyperlink ref="S621" r:id="rId620" xr:uid="{2B3DD198-E9FE-40D9-9C36-DBEE3D860023}"/>
    <hyperlink ref="S622" r:id="rId621" xr:uid="{DF1AD9B1-5DA3-4882-A2D5-AACDD162CBD7}"/>
    <hyperlink ref="S623" r:id="rId622" xr:uid="{7337EABC-EBF0-411E-9A2C-B96DC03F1901}"/>
    <hyperlink ref="S624" r:id="rId623" xr:uid="{DD0A68F2-8DD2-4C6D-B55C-6CB8D8A1E0F5}"/>
    <hyperlink ref="S625" r:id="rId624" xr:uid="{55E8304C-C2C8-4AB6-9270-201C688342D4}"/>
    <hyperlink ref="S626" r:id="rId625" xr:uid="{4A9782C3-1E0E-45F1-AB69-A7AF1B4BEF8B}"/>
    <hyperlink ref="S627" r:id="rId626" xr:uid="{87D9EB17-5D70-4ACC-B6EC-64FCF342B31F}"/>
    <hyperlink ref="S628" r:id="rId627" xr:uid="{9FEEB8DD-CEBC-4851-B3E0-A7C033C42C24}"/>
    <hyperlink ref="S629" r:id="rId628" xr:uid="{D0DED06E-71BE-4E08-8809-F2853F1D8CA5}"/>
    <hyperlink ref="S630" r:id="rId629" xr:uid="{B1B8C0A7-76FB-4877-8CEF-544AB3A81741}"/>
    <hyperlink ref="S631" r:id="rId630" xr:uid="{0D6EF802-A54A-4492-B5A5-09074327CE49}"/>
    <hyperlink ref="S632" r:id="rId631" xr:uid="{16D4650C-4EF1-4D8F-BB6E-A397141D9F6C}"/>
    <hyperlink ref="S633" r:id="rId632" xr:uid="{A0BDA6DB-B54F-4326-8CF6-D8B4C39FE84E}"/>
    <hyperlink ref="S634" r:id="rId633" xr:uid="{AE343399-ECE8-4EDA-B8A1-04A991887D33}"/>
    <hyperlink ref="S635" r:id="rId634" xr:uid="{43DBF38D-FC54-4BDD-B6F8-E00DBEEEB187}"/>
    <hyperlink ref="S636" r:id="rId635" xr:uid="{F2954DE5-C42B-43E1-B850-E39850575F9D}"/>
    <hyperlink ref="S637" r:id="rId636" xr:uid="{6AB5067A-FE7E-42A2-B6B5-5AC9F881011E}"/>
    <hyperlink ref="S638" r:id="rId637" xr:uid="{680AB765-2DD6-4CCC-9ACE-BB913B2B056B}"/>
    <hyperlink ref="S639" r:id="rId638" xr:uid="{184C540C-643E-4954-9C2D-3B31E8BB7876}"/>
    <hyperlink ref="S640" r:id="rId639" xr:uid="{5684EB50-8039-4C06-8CFF-1D7F192116A1}"/>
    <hyperlink ref="S641" r:id="rId640" xr:uid="{4FF676CC-6BA8-4A5F-8136-EE594A0F62CF}"/>
    <hyperlink ref="S642" r:id="rId641" xr:uid="{BB765015-5122-4AB1-9B60-3B9B0E214C30}"/>
    <hyperlink ref="S643" r:id="rId642" xr:uid="{EE383E54-9384-4A4C-AB56-C5FD1C3869EC}"/>
    <hyperlink ref="S644" r:id="rId643" xr:uid="{F8965A90-7D8E-409F-921D-290984E0B94E}"/>
    <hyperlink ref="S645" r:id="rId644" xr:uid="{EC8A0C6B-0115-4583-A070-9A5ABCCEA716}"/>
    <hyperlink ref="S646" r:id="rId645" xr:uid="{7AD4C17C-562D-468E-9F67-AB7349FD37AF}"/>
    <hyperlink ref="S647" r:id="rId646" xr:uid="{B63734A6-1F76-411C-A162-C520B3EA0714}"/>
    <hyperlink ref="S648" r:id="rId647" xr:uid="{D5A5C242-FBB5-4086-96CC-77407F11403C}"/>
    <hyperlink ref="S649" r:id="rId648" xr:uid="{A940A64B-A753-44E5-80C0-7F9BA0DD53EA}"/>
    <hyperlink ref="S650" r:id="rId649" xr:uid="{B03537E5-C9D0-41E8-8780-11EFF06FA8AB}"/>
    <hyperlink ref="S651" r:id="rId650" xr:uid="{CD8FB13D-B129-438F-9770-34EA94F33666}"/>
    <hyperlink ref="S652" r:id="rId651" xr:uid="{DF50690F-B056-4F47-A818-B961408CCB4E}"/>
    <hyperlink ref="S653" r:id="rId652" xr:uid="{10F31FDD-A655-4302-9FD5-1B4EF08478C4}"/>
    <hyperlink ref="S654" r:id="rId653" xr:uid="{707C9ACE-9847-44C5-8F03-9594954DF024}"/>
    <hyperlink ref="S655" r:id="rId654" xr:uid="{B1FC7E80-9471-49EF-B3E6-CC7BF51C5614}"/>
    <hyperlink ref="S656" r:id="rId655" xr:uid="{E1718596-853B-4EE0-9951-4D67A9BD17F0}"/>
    <hyperlink ref="S657" r:id="rId656" xr:uid="{196F4058-2C2B-456C-B2BA-D38EC6906311}"/>
    <hyperlink ref="S658" r:id="rId657" xr:uid="{703E182A-6478-4737-AB01-C21E2CB62F3A}"/>
    <hyperlink ref="S659" r:id="rId658" xr:uid="{6CBF4E0B-E5EE-4AA6-BC8A-EDF806764768}"/>
    <hyperlink ref="S660" r:id="rId659" xr:uid="{6810ACD4-2B0B-4C00-A23F-2DAAE5D990AE}"/>
    <hyperlink ref="S661" r:id="rId660" xr:uid="{37E36FA1-A067-4DA4-906F-C41B3B98E5DA}"/>
    <hyperlink ref="S662" r:id="rId661" xr:uid="{9252DEE6-9687-49E1-8C08-81FC8F7E3F38}"/>
    <hyperlink ref="S663" r:id="rId662" xr:uid="{573F4C81-DD15-477D-B1FA-2EF5E50849C2}"/>
    <hyperlink ref="S664" r:id="rId663" xr:uid="{C60543F7-AFB7-4A64-BBD7-001FEF6F3ADA}"/>
    <hyperlink ref="S665" r:id="rId664" xr:uid="{FAB012D6-49A2-4920-93BA-3E7AA1C24297}"/>
    <hyperlink ref="S666" r:id="rId665" xr:uid="{F78A7A35-8392-46FB-8595-0D0370F929A7}"/>
    <hyperlink ref="S667" r:id="rId666" xr:uid="{FFFC32CB-578E-49EC-B027-88D0061668DA}"/>
    <hyperlink ref="S668" r:id="rId667" xr:uid="{C3768729-E91D-4C39-B168-E8A26002FD92}"/>
    <hyperlink ref="S669" r:id="rId668" xr:uid="{B90D2F90-7CEC-414B-8034-FDF698A112FC}"/>
    <hyperlink ref="S670" r:id="rId669" xr:uid="{D6CCB578-D8AC-404F-8884-11306EC9AC7F}"/>
    <hyperlink ref="S671" r:id="rId670" xr:uid="{41E84722-F3B6-4C09-AFAE-63646808C6B4}"/>
    <hyperlink ref="S672" r:id="rId671" xr:uid="{417F56C4-7070-43DB-8888-F5A83DFBE440}"/>
    <hyperlink ref="S673" r:id="rId672" xr:uid="{6BBB19BD-E135-47F2-8467-201EB1E6E74C}"/>
    <hyperlink ref="S674" r:id="rId673" xr:uid="{A6426947-FE69-4C35-9E67-50739E0C8633}"/>
    <hyperlink ref="S675" r:id="rId674" xr:uid="{8A663D14-014C-4C6A-AAE7-89945669BC5B}"/>
    <hyperlink ref="S676" r:id="rId675" xr:uid="{BE502430-85C4-4DB0-AA30-75E961952EF1}"/>
    <hyperlink ref="S677" r:id="rId676" xr:uid="{BD514AE5-0D3C-4DBA-ABF9-6FAD42E71C38}"/>
    <hyperlink ref="S678" r:id="rId677" xr:uid="{ED20DB6F-CB21-47E4-A074-E90571195643}"/>
    <hyperlink ref="S679" r:id="rId678" xr:uid="{CE41D9CA-6977-468E-86D4-534168FCCE7D}"/>
    <hyperlink ref="S680" r:id="rId679" xr:uid="{EEADEBC3-7914-42EE-A63B-13AB1D616E55}"/>
    <hyperlink ref="S681" r:id="rId680" xr:uid="{61492764-620A-4183-A7CE-DC0BCD037F67}"/>
    <hyperlink ref="S682" r:id="rId681" xr:uid="{E0ADD62B-D080-4D54-8DB5-AF91710686A5}"/>
    <hyperlink ref="S683" r:id="rId682" xr:uid="{5D353ABA-6415-4414-A433-F152BDE13659}"/>
    <hyperlink ref="S684" r:id="rId683" xr:uid="{F3488B40-A266-4268-89C7-07CC20EC73B4}"/>
    <hyperlink ref="S685" r:id="rId684" xr:uid="{F0754754-63E5-4E7E-A1BC-C42ACF8FCA27}"/>
    <hyperlink ref="S686" r:id="rId685" xr:uid="{500F0FB8-8102-494D-82C6-1D6BC4B64E47}"/>
    <hyperlink ref="S687" r:id="rId686" xr:uid="{5DEB6E2B-54F7-42A9-B33E-08CCCC01D9B6}"/>
    <hyperlink ref="S688" r:id="rId687" xr:uid="{DCAE96C8-0EA7-48F9-8787-DD1D88E47FD8}"/>
    <hyperlink ref="S689" r:id="rId688" xr:uid="{43744AA0-81C9-47F9-92E9-DEB37E86DE2C}"/>
    <hyperlink ref="S690" r:id="rId689" xr:uid="{BEFB23A8-2D9B-41CF-985B-D8BA20DFFD62}"/>
    <hyperlink ref="S691" r:id="rId690" xr:uid="{F8203B4A-522B-4BC1-A489-0ADEB94488A9}"/>
    <hyperlink ref="S692" r:id="rId691" xr:uid="{702656C2-6456-4A6F-9338-1887E924993F}"/>
    <hyperlink ref="S693" r:id="rId692" xr:uid="{C904FA35-A315-4609-ACC6-01D75C6C19B0}"/>
    <hyperlink ref="S694" r:id="rId693" xr:uid="{6292F583-0800-4F83-8A1B-65C105748963}"/>
    <hyperlink ref="S695" r:id="rId694" xr:uid="{8DC9312F-8DD8-4BE8-8973-EF418D8EA918}"/>
    <hyperlink ref="S696" r:id="rId695" xr:uid="{39A29488-FB4C-494F-B966-B35044159EEB}"/>
    <hyperlink ref="S697" r:id="rId696" xr:uid="{242BDD01-7CC7-4EA5-90B9-3B1F30F2AE6E}"/>
    <hyperlink ref="S698" r:id="rId697" xr:uid="{97D14BDB-B1C1-4591-8D07-2B079D484BCA}"/>
    <hyperlink ref="S699" r:id="rId698" xr:uid="{111846FD-3ED1-49AE-AE7F-7BBCD5CA2650}"/>
    <hyperlink ref="S700" r:id="rId699" xr:uid="{517077C9-67E2-4D4B-A753-EA233D78B776}"/>
    <hyperlink ref="S701" r:id="rId700" xr:uid="{7AC463C4-DA73-4526-8891-A9C3F2815B45}"/>
    <hyperlink ref="S702" r:id="rId701" xr:uid="{C67650DC-3C36-42DB-BF1E-63974F5B0A7D}"/>
    <hyperlink ref="S703" r:id="rId702" xr:uid="{99C3EC2A-045C-4129-A274-22FF985A4730}"/>
    <hyperlink ref="S704" r:id="rId703" xr:uid="{F4B52DAE-F71B-4ED1-815B-A2F0FCA48FEA}"/>
    <hyperlink ref="S705" r:id="rId704" xr:uid="{919EB88E-E60F-4262-9D36-9A606F0A580D}"/>
    <hyperlink ref="S706" r:id="rId705" xr:uid="{BB007AC0-1959-4388-8946-6DB918963761}"/>
    <hyperlink ref="S707" r:id="rId706" xr:uid="{E26C389E-CD6C-4898-AEFF-F30BE873CB92}"/>
    <hyperlink ref="S708" r:id="rId707" xr:uid="{8941C564-987C-4342-9935-5DBE5CA5F8E9}"/>
    <hyperlink ref="S709" r:id="rId708" xr:uid="{20644C01-F914-4FD9-8CE7-2BB1EECF907C}"/>
    <hyperlink ref="S710" r:id="rId709" xr:uid="{96DDDD2A-070E-4330-932F-9B4D10E2306E}"/>
    <hyperlink ref="S711" r:id="rId710" xr:uid="{5866D713-1233-4CD2-A2B3-420D5940686A}"/>
    <hyperlink ref="S712" r:id="rId711" xr:uid="{90F44755-C077-4627-936A-D37DAD039F8F}"/>
    <hyperlink ref="S713" r:id="rId712" xr:uid="{D8BC328C-2257-4101-969A-7BE7E971346D}"/>
    <hyperlink ref="S714" r:id="rId713" xr:uid="{3469B789-DC0C-4C99-A2AA-47EEBC1A6A78}"/>
    <hyperlink ref="S715" r:id="rId714" xr:uid="{14EFCBF4-8F0F-4DF0-9B26-10BB8C0AA0F1}"/>
    <hyperlink ref="S716" r:id="rId715" xr:uid="{98D911B2-2251-4EFF-9723-CDBB2525716D}"/>
    <hyperlink ref="S717" r:id="rId716" xr:uid="{5423D838-2356-4934-BB1E-2BC6401A4099}"/>
    <hyperlink ref="S718" r:id="rId717" xr:uid="{4447883E-684D-4441-941D-F495E2D8175B}"/>
    <hyperlink ref="S719" r:id="rId718" xr:uid="{EA9975F0-AAD3-4B1E-8940-A2A800256653}"/>
    <hyperlink ref="S720" r:id="rId719" xr:uid="{0EB425AE-8273-4DCF-B16E-01E4F145763E}"/>
    <hyperlink ref="S721" r:id="rId720" xr:uid="{FCD9135F-1B3F-495D-B2DC-B759ECCBD75C}"/>
    <hyperlink ref="S722" r:id="rId721" xr:uid="{91624E8E-173F-4071-919B-1B55E2EEDA13}"/>
    <hyperlink ref="S723" r:id="rId722" xr:uid="{DB187F61-2F01-48AC-B52B-77217536BD73}"/>
    <hyperlink ref="S724" r:id="rId723" xr:uid="{00F75FBB-BDE7-4E8E-80D3-4E9A1EFC943F}"/>
    <hyperlink ref="S725" r:id="rId724" xr:uid="{B5F066A6-A3BA-49DA-A3D5-BD3A65DA96CA}"/>
    <hyperlink ref="S726" r:id="rId725" xr:uid="{1D33A764-1293-4383-A534-ADE875512C21}"/>
    <hyperlink ref="S727" r:id="rId726" xr:uid="{89EDC665-82C3-4AC3-8E4D-AAE82986CBEE}"/>
    <hyperlink ref="S728" r:id="rId727" xr:uid="{2B175600-6791-435D-83BA-0F4757062007}"/>
    <hyperlink ref="S729" r:id="rId728" xr:uid="{26CE7CFB-2593-4326-BC7B-B1FF5A5490CE}"/>
    <hyperlink ref="S730" r:id="rId729" xr:uid="{CCFC1D6C-5F92-4A20-9FD4-10BB1F968C30}"/>
    <hyperlink ref="S731" r:id="rId730" xr:uid="{FE830C66-B30E-44F6-B0D4-1946A3395D0D}"/>
    <hyperlink ref="S732" r:id="rId731" xr:uid="{D85068B0-3DBC-40ED-A7BF-A046D174DC1B}"/>
    <hyperlink ref="S733" r:id="rId732" xr:uid="{FAA048DA-F409-4170-B019-D1586523E247}"/>
    <hyperlink ref="S734" r:id="rId733" xr:uid="{3B446659-7A88-465F-A5F4-39828D1682C2}"/>
    <hyperlink ref="S735" r:id="rId734" xr:uid="{7E3E2107-7F1A-4D0A-8E0D-94DBE998E084}"/>
    <hyperlink ref="S736" r:id="rId735" xr:uid="{54585951-8F82-47B0-B4A2-BFBFB8F9F072}"/>
    <hyperlink ref="S737" r:id="rId736" xr:uid="{CB6D89FF-1861-47FB-8ACA-608CFC7826F4}"/>
    <hyperlink ref="S738" r:id="rId737" xr:uid="{D8527826-C5D9-4E6F-A6D7-11448D892793}"/>
    <hyperlink ref="S739" r:id="rId738" xr:uid="{9853CC1B-D4D0-4C50-83CA-46391C3F635A}"/>
    <hyperlink ref="S740" r:id="rId739" xr:uid="{97ABE2AF-1236-4388-830E-3AAA9E60FE4F}"/>
    <hyperlink ref="S741" r:id="rId740" xr:uid="{D8BC0C05-D37D-44F6-9812-D6013C7EF21B}"/>
    <hyperlink ref="S742" r:id="rId741" xr:uid="{877A2E4A-DFCE-4781-97E6-849E9661D5E8}"/>
    <hyperlink ref="S743" r:id="rId742" xr:uid="{DCFA69BD-A2A6-4A8C-9ADA-98C288BC8BB1}"/>
    <hyperlink ref="S744" r:id="rId743" xr:uid="{75435813-F0C5-4DAB-B52B-28DA777927C3}"/>
    <hyperlink ref="S745" r:id="rId744" xr:uid="{A545BD93-97AF-4BAA-BDBE-65F5FB9BAF66}"/>
    <hyperlink ref="S746" r:id="rId745" xr:uid="{346AF0EC-36C7-4D40-A62D-734851526F96}"/>
    <hyperlink ref="S747" r:id="rId746" xr:uid="{1CAD372E-755F-4A93-A977-A8EC14C661AA}"/>
    <hyperlink ref="S748" r:id="rId747" xr:uid="{ADF3EEB4-5FB4-44CA-82DA-BCAADCB06F7D}"/>
    <hyperlink ref="S749" r:id="rId748" xr:uid="{9AD2BF6D-4D06-4C72-9004-0306D81DDE5D}"/>
    <hyperlink ref="S750" r:id="rId749" xr:uid="{102B6096-5FC4-45CB-9A72-5EE49BC095CC}"/>
    <hyperlink ref="S751" r:id="rId750" xr:uid="{7DB88566-1BAE-417A-BB5D-DE6A09625CFA}"/>
    <hyperlink ref="S752" r:id="rId751" xr:uid="{BDE2B521-0EC7-432F-9D13-37BF27667FB6}"/>
    <hyperlink ref="S753" r:id="rId752" xr:uid="{54D13AE7-425A-4DDF-8E44-E9FBEFFEB18D}"/>
    <hyperlink ref="S754" r:id="rId753" xr:uid="{965A438A-B224-4989-8594-7EB86CBA95FF}"/>
    <hyperlink ref="S755" r:id="rId754" xr:uid="{A5CAB76C-F11B-4F8F-9753-8D9914237E82}"/>
    <hyperlink ref="S756" r:id="rId755" xr:uid="{64C75C41-5E67-4E68-A05F-91DEEE45BBE4}"/>
    <hyperlink ref="S757" r:id="rId756" xr:uid="{AAE6D0DB-BA90-4661-BDFC-854685BDB1B6}"/>
    <hyperlink ref="S758" r:id="rId757" xr:uid="{AE1D8AC1-DAD4-447C-8FD8-26B59CE47320}"/>
    <hyperlink ref="S759" r:id="rId758" xr:uid="{137927F2-6DF5-4F33-918D-1D7A2B895DDE}"/>
    <hyperlink ref="S760" r:id="rId759" xr:uid="{FC1AEF83-977D-4272-83C2-C60865F546A2}"/>
    <hyperlink ref="S761" r:id="rId760" xr:uid="{DC393CEF-F67C-44A1-A730-974F9A138FB6}"/>
    <hyperlink ref="S762" r:id="rId761" xr:uid="{7D450807-4AF5-4108-B44A-ADBE2EBFB98C}"/>
    <hyperlink ref="S763" r:id="rId762" xr:uid="{583C174D-5EEC-458D-9DB8-FC33072A4E9B}"/>
    <hyperlink ref="S764" r:id="rId763" xr:uid="{CC2B895F-DA61-4E31-9FDE-C796F5D67AF3}"/>
    <hyperlink ref="S765" r:id="rId764" xr:uid="{B3FDE15E-1FD9-4D06-BAC2-7A098C045F23}"/>
    <hyperlink ref="S766" r:id="rId765" xr:uid="{6819841A-5B28-42C3-AFEC-6AEA414388FC}"/>
    <hyperlink ref="S767" r:id="rId766" xr:uid="{D627BD0A-2510-4FD7-90BB-31E80882EE49}"/>
    <hyperlink ref="S768" r:id="rId767" xr:uid="{55980ABA-2329-4E86-8C11-0EBD09DD41C8}"/>
    <hyperlink ref="S769" r:id="rId768" xr:uid="{06EE0AEF-B71B-487A-AA72-AFB913650F96}"/>
    <hyperlink ref="S770" r:id="rId769" xr:uid="{B1FF0ED7-E615-4341-BA53-06122458BBD6}"/>
    <hyperlink ref="S771" r:id="rId770" xr:uid="{30D049A1-883E-460F-8FFC-F1042E673248}"/>
    <hyperlink ref="S772" r:id="rId771" xr:uid="{BB91EAE0-596D-48CF-BB3E-18A05CA02E0D}"/>
    <hyperlink ref="S773" r:id="rId772" xr:uid="{C776A23A-3F74-40C2-AA28-A8A35CB15638}"/>
    <hyperlink ref="S774" r:id="rId773" xr:uid="{35771995-66CA-44CF-859E-BE0940ED1E75}"/>
    <hyperlink ref="S775" r:id="rId774" xr:uid="{DF78BC48-FEFF-413C-A426-9EF0EBE8BEE3}"/>
    <hyperlink ref="S776" r:id="rId775" xr:uid="{0489BA16-239F-4FC2-8F92-27BEA9DB91C0}"/>
    <hyperlink ref="S777" r:id="rId776" xr:uid="{24EB8AF7-C58C-4C87-A78C-3742C147CA44}"/>
    <hyperlink ref="S778" r:id="rId777" xr:uid="{3B8DBE78-0F26-407B-A1DF-6AA34EE00F27}"/>
    <hyperlink ref="S779" r:id="rId778" xr:uid="{7F14DAA4-9CDB-4609-85FD-C0388AD5DEA0}"/>
    <hyperlink ref="S780" r:id="rId779" xr:uid="{169CF5D7-447A-4CE4-B053-B718906C7518}"/>
    <hyperlink ref="S781" r:id="rId780" xr:uid="{175CD4E2-0846-48E4-A0DD-DC0C3F0AE6B4}"/>
    <hyperlink ref="S782" r:id="rId781" xr:uid="{412F9FDD-51FA-42AF-A34F-419EFD99D51E}"/>
    <hyperlink ref="S783" r:id="rId782" xr:uid="{5EC37C60-22A5-4F74-BBFA-F9F5DE70F51E}"/>
    <hyperlink ref="S784" r:id="rId783" xr:uid="{4E1B6D7E-E93A-41D3-B0DF-19BA67773B5A}"/>
    <hyperlink ref="S785" r:id="rId784" xr:uid="{EE770243-CF90-4A1C-9BB8-FF1B3B59638A}"/>
    <hyperlink ref="S786" r:id="rId785" xr:uid="{94DE40E4-24A8-4EDF-9277-B0707A13E887}"/>
    <hyperlink ref="S787" r:id="rId786" xr:uid="{AD8274C6-D4D4-442A-88CE-6EEC32F0318E}"/>
    <hyperlink ref="S788" r:id="rId787" xr:uid="{50B9DA1C-009F-4823-B65A-40424EC4BB3B}"/>
    <hyperlink ref="S789" r:id="rId788" xr:uid="{AB3C6758-B3F3-4EA4-AB32-09A409688760}"/>
    <hyperlink ref="S790" r:id="rId789" xr:uid="{BA9F7DFA-94E8-47BB-AF6A-90B18B9A779C}"/>
    <hyperlink ref="S791" r:id="rId790" xr:uid="{DBA8126C-8E71-4A69-9F87-CAE8CB3F70AC}"/>
    <hyperlink ref="S792" r:id="rId791" xr:uid="{2278684F-73A5-4F08-B7AB-E359017DD6A8}"/>
    <hyperlink ref="S793" r:id="rId792" xr:uid="{8F417529-C688-408E-B69F-7D746C496C9D}"/>
    <hyperlink ref="S794" r:id="rId793" xr:uid="{36482FA6-2332-42C8-A1DB-9D6F7A7B0A4E}"/>
    <hyperlink ref="S795" r:id="rId794" xr:uid="{CDE2FAB9-AADE-4BCF-A6CC-185A24CE1C2C}"/>
    <hyperlink ref="S796" r:id="rId795" xr:uid="{3B4B994C-A43B-4811-85F9-D2154FC84C18}"/>
    <hyperlink ref="S797" r:id="rId796" xr:uid="{729DC692-91EA-42E9-AA60-83935BDB0573}"/>
    <hyperlink ref="S798" r:id="rId797" xr:uid="{F27D2FBF-C01D-4103-9B38-8C7C10C4EFF0}"/>
    <hyperlink ref="S799" r:id="rId798" xr:uid="{42E97A62-2AC3-453A-BDE5-FA4C36AC86EF}"/>
    <hyperlink ref="S800" r:id="rId799" xr:uid="{4D84500C-0F8E-43C3-807D-BE1B7CF836D9}"/>
    <hyperlink ref="S801" r:id="rId800" xr:uid="{2DEAA6CA-E6F9-4040-ADC8-8D68F46A5257}"/>
    <hyperlink ref="S802" r:id="rId801" xr:uid="{7F133040-D94A-4E4C-9C24-27A0ED46B0CB}"/>
    <hyperlink ref="S803" r:id="rId802" xr:uid="{A4A08B6B-726B-419C-9CF1-F2ABE1A62F57}"/>
    <hyperlink ref="S804" r:id="rId803" xr:uid="{8EE935BA-4D48-41C9-886A-7634D5966B4D}"/>
    <hyperlink ref="S805" r:id="rId804" xr:uid="{56F78834-ABE3-4723-BCB1-30B0A3201D5E}"/>
    <hyperlink ref="S806" r:id="rId805" xr:uid="{4E63671F-E188-4A64-A2FF-C1AAB76264E5}"/>
    <hyperlink ref="S807" r:id="rId806" xr:uid="{BC0D0A24-5ECB-49D1-89D0-2115B656A08C}"/>
    <hyperlink ref="S808" r:id="rId807" xr:uid="{8EB854B7-2479-455B-A590-3022D9F36185}"/>
    <hyperlink ref="S809" r:id="rId808" xr:uid="{02BB9B41-C368-4016-905F-2AB290BC8B40}"/>
    <hyperlink ref="S810" r:id="rId809" xr:uid="{3668CA8A-4BE5-4296-BCB1-08BCF9FED153}"/>
    <hyperlink ref="S811" r:id="rId810" xr:uid="{9F0CA9B5-6875-4D42-912D-1FF815D4B1A4}"/>
    <hyperlink ref="S812" r:id="rId811" xr:uid="{4E779959-1056-4881-A66C-9152C51127C1}"/>
    <hyperlink ref="S813" r:id="rId812" xr:uid="{11745454-CB5C-4708-BDA9-D35D3F83F965}"/>
    <hyperlink ref="S814" r:id="rId813" xr:uid="{9E5EFD3B-F1EC-4BAF-BA43-2FE8CBACB80E}"/>
    <hyperlink ref="S815" r:id="rId814" xr:uid="{865B52DC-47FE-49F5-A933-31A1F14E07E1}"/>
    <hyperlink ref="S816" r:id="rId815" xr:uid="{2EE1D386-DC6D-4ACF-875E-1DAB01FD32F9}"/>
    <hyperlink ref="S817" r:id="rId816" xr:uid="{F84BEBCF-7A0E-47CC-A1FA-3DAA1A843B83}"/>
    <hyperlink ref="S818" r:id="rId817" xr:uid="{30805B99-0C2C-40F3-AA84-A3CB27FFB1BC}"/>
    <hyperlink ref="S819" r:id="rId818" xr:uid="{90F72D5D-9A5B-4A9A-B943-0BB6422B1103}"/>
    <hyperlink ref="S820" r:id="rId819" xr:uid="{97E5A3ED-8E40-470A-8C73-274258F7BA34}"/>
    <hyperlink ref="S821" r:id="rId820" xr:uid="{AA124A59-B9C2-418E-BE3D-6540FF3F69DB}"/>
    <hyperlink ref="S822" r:id="rId821" xr:uid="{6EBD0EE3-BCD2-4616-BE67-44566828DC26}"/>
    <hyperlink ref="S823" r:id="rId822" xr:uid="{D8CDD515-3DD6-42A0-A7A0-CBBFE9D741B3}"/>
    <hyperlink ref="S824" r:id="rId823" xr:uid="{0703DDA4-9152-4BDD-B3DD-BC301CBC0727}"/>
    <hyperlink ref="S825" r:id="rId824" xr:uid="{55319062-4D1F-4473-AC78-6B15C4E029DB}"/>
    <hyperlink ref="S826" r:id="rId825" xr:uid="{FF3F87A1-A155-4D50-AF30-9781FC0CE8A0}"/>
    <hyperlink ref="S827" r:id="rId826" xr:uid="{B66E7BA6-8377-46C0-93F9-BC3BFB2AB4C2}"/>
    <hyperlink ref="S828" r:id="rId827" xr:uid="{B3492FA2-09FC-4C6C-A7E0-0E2168A4E1B1}"/>
    <hyperlink ref="S829" r:id="rId828" xr:uid="{C3E86291-8E5A-4E05-ADE4-BDCA554EB9D9}"/>
    <hyperlink ref="S830" r:id="rId829" xr:uid="{6C87F877-5C73-495A-9EC3-92729E937FFD}"/>
    <hyperlink ref="S831" r:id="rId830" xr:uid="{4C9E6034-11BA-4723-81C2-286FF76EBD0E}"/>
    <hyperlink ref="S832" r:id="rId831" xr:uid="{2B1BE6D7-6174-484F-9E7B-635BAC1E1CA2}"/>
    <hyperlink ref="S833" r:id="rId832" xr:uid="{F7F3E432-784F-4359-ABA0-DC2383F947E3}"/>
    <hyperlink ref="S834" r:id="rId833" xr:uid="{478D9119-AC0C-44B6-A6C9-ABF232D83B14}"/>
    <hyperlink ref="S835" r:id="rId834" xr:uid="{6E4C3393-52C9-4AC5-ADDB-5F47DD77B3AA}"/>
    <hyperlink ref="S836" r:id="rId835" xr:uid="{720ADC0E-1CAF-45D4-A889-0D23BD28C527}"/>
    <hyperlink ref="S837" r:id="rId836" xr:uid="{F3F429AE-7D0D-4377-920F-016B37687E80}"/>
    <hyperlink ref="S838" r:id="rId837" xr:uid="{58FD7E52-8B53-471F-9917-5E7835654EC4}"/>
    <hyperlink ref="S839" r:id="rId838" xr:uid="{FB8B9EBB-2BA8-48D5-9146-F55CAC52C5E0}"/>
    <hyperlink ref="S840" r:id="rId839" xr:uid="{C0214E2F-D141-48AB-B6F9-260D35DD0FE7}"/>
    <hyperlink ref="S841" r:id="rId840" xr:uid="{FCB1F5D2-EAC8-4DE7-99DC-CBE475290CC1}"/>
    <hyperlink ref="S842" r:id="rId841" xr:uid="{B8365C0A-0A8A-46E3-A5EC-8EC3CA888A01}"/>
    <hyperlink ref="S843" r:id="rId842" xr:uid="{7E53642C-8334-43BE-9FC0-E690FB730578}"/>
    <hyperlink ref="S844" r:id="rId843" xr:uid="{B78B37BB-0AAD-4183-8327-92DF51B5712F}"/>
    <hyperlink ref="S845" r:id="rId844" xr:uid="{E4F4166C-BFB0-4781-B6FD-81B8F949D539}"/>
    <hyperlink ref="S846" r:id="rId845" xr:uid="{F814E7A2-D7E1-4ECC-86F0-5C790465DA66}"/>
    <hyperlink ref="S847" r:id="rId846" xr:uid="{31088A89-91E5-47A5-9FAF-14CCC3C22E62}"/>
    <hyperlink ref="S848" r:id="rId847" xr:uid="{4DC64884-7EF1-42B9-915A-6B1ED77C854E}"/>
    <hyperlink ref="S849" r:id="rId848" xr:uid="{869AD02D-4F4C-459D-91A2-B75AFA7CC935}"/>
    <hyperlink ref="S850" r:id="rId849" xr:uid="{C06431CA-4DD9-4E67-AEAE-26767886D252}"/>
    <hyperlink ref="S851" r:id="rId850" xr:uid="{4E0967EE-BD0D-40E8-847C-AD266D24D747}"/>
    <hyperlink ref="S852" r:id="rId851" xr:uid="{BCF75709-1258-474F-B8BA-6AB50CBC4778}"/>
    <hyperlink ref="S853" r:id="rId852" xr:uid="{4DAF22BE-4FD2-4F70-920A-BEBB9942D882}"/>
    <hyperlink ref="S854" r:id="rId853" xr:uid="{8328EE3A-B537-4F50-9353-1D28172F663D}"/>
    <hyperlink ref="S855" r:id="rId854" xr:uid="{D8A567FF-91CA-4196-9D26-4A47754A6DA5}"/>
    <hyperlink ref="S856" r:id="rId855" xr:uid="{C453B6B0-2EB1-4455-ADDD-E3836C112169}"/>
    <hyperlink ref="S857" r:id="rId856" xr:uid="{5D58AF43-8021-4278-8CFB-65399732F162}"/>
    <hyperlink ref="S858" r:id="rId857" xr:uid="{8475D688-B6D2-434A-83C0-C5560230E5F7}"/>
    <hyperlink ref="S859" r:id="rId858" xr:uid="{EB880682-86EE-4E56-BE79-A59968F6F722}"/>
    <hyperlink ref="S860" r:id="rId859" xr:uid="{2C004FD1-812C-4AF1-9602-144DDACAA12E}"/>
    <hyperlink ref="S861" r:id="rId860" xr:uid="{72EF3D5B-F61F-4416-A381-9934EAF5D0F0}"/>
    <hyperlink ref="S862" r:id="rId861" xr:uid="{9930404C-091D-48D5-B4EC-73EAB5AEC9DD}"/>
    <hyperlink ref="S863" r:id="rId862" xr:uid="{C5A69662-CBB2-4B4B-A5E8-EF52A2547B55}"/>
    <hyperlink ref="S864" r:id="rId863" xr:uid="{4E8B3175-4C44-4FE2-87FE-FED9FFF22EA7}"/>
    <hyperlink ref="S865" r:id="rId864" xr:uid="{9DD0584D-0891-43EF-940E-C7EF88CF738D}"/>
    <hyperlink ref="S866" r:id="rId865" xr:uid="{D92577BB-A081-4649-B700-72A3DAA4D294}"/>
    <hyperlink ref="S867" r:id="rId866" xr:uid="{DF20BFF4-8F46-44F0-97AC-1BCC462A164D}"/>
    <hyperlink ref="S868" r:id="rId867" xr:uid="{91C2D7AF-31DA-4420-97C6-BA6887B4A741}"/>
    <hyperlink ref="S869" r:id="rId868" xr:uid="{C89962D5-9517-46F2-BD62-D463F224D613}"/>
    <hyperlink ref="S870" r:id="rId869" xr:uid="{7053B68A-BE3F-43F3-8F86-4C2277D6642E}"/>
    <hyperlink ref="S871" r:id="rId870" xr:uid="{FA7D589F-9A54-4D6D-8D8F-D1AF7849F538}"/>
    <hyperlink ref="S872" r:id="rId871" xr:uid="{F2384022-EC66-474F-9B6B-51D54004158B}"/>
    <hyperlink ref="S873" r:id="rId872" xr:uid="{8900DB10-A9E5-46C6-94CF-C449AADB3DBC}"/>
    <hyperlink ref="S874" r:id="rId873" xr:uid="{119AA784-8263-4B7F-8EB0-A1417D91777F}"/>
    <hyperlink ref="S875" r:id="rId874" xr:uid="{76274ADF-3F2D-4EDF-B3A5-16196284B259}"/>
    <hyperlink ref="S876" r:id="rId875" xr:uid="{B47D454F-546F-4E99-A00D-EDDE1D036E8A}"/>
    <hyperlink ref="S877" r:id="rId876" xr:uid="{09D972BE-858A-4603-8D4B-7FBA206FEE8E}"/>
    <hyperlink ref="S878" r:id="rId877" xr:uid="{D6A462F7-C4ED-4A9A-AD9D-49390D66146B}"/>
    <hyperlink ref="S879" r:id="rId878" xr:uid="{51A113A7-1A97-48FD-A49B-1418AB864424}"/>
    <hyperlink ref="S880" r:id="rId879" xr:uid="{6C8DB6D4-F4D4-41BC-8764-2102DAA1AAB0}"/>
    <hyperlink ref="S881" r:id="rId880" xr:uid="{AEFC728B-A8F5-4D5D-97D9-745868C9A4D7}"/>
    <hyperlink ref="S882" r:id="rId881" xr:uid="{20B2941D-65D9-428F-B4F3-503C8D65AA39}"/>
    <hyperlink ref="S883" r:id="rId882" xr:uid="{BDBDFAC6-6337-40FE-AC9D-1EE009166517}"/>
    <hyperlink ref="S884" r:id="rId883" xr:uid="{95B38AE7-EC7B-4EC5-9F05-FC03FE4A8094}"/>
    <hyperlink ref="S885" r:id="rId884" xr:uid="{EC00DA4C-8D06-417F-89AE-FBBF9ECA4962}"/>
    <hyperlink ref="S886" r:id="rId885" xr:uid="{6D245963-B292-421E-A69B-D63ED7FA0292}"/>
    <hyperlink ref="S887" r:id="rId886" xr:uid="{E82BB973-9CC4-43BE-AC0A-1B8F8BEA86B2}"/>
    <hyperlink ref="S888" r:id="rId887" xr:uid="{9CEB156A-3484-4DBC-8A66-994970262A2A}"/>
    <hyperlink ref="S889" r:id="rId888" xr:uid="{E303A6C2-9610-4FBD-8070-E5A2DD81F787}"/>
    <hyperlink ref="S890" r:id="rId889" xr:uid="{086FFF1C-FB33-48DC-80A2-02986DD0627E}"/>
    <hyperlink ref="S891" r:id="rId890" xr:uid="{9A126D91-32E4-4ACD-9BF0-CA235AD55FEA}"/>
    <hyperlink ref="S892" r:id="rId891" xr:uid="{FB9D4789-EAC2-46B1-B950-3291F0EDBF32}"/>
    <hyperlink ref="S893" r:id="rId892" xr:uid="{71BF53CC-8F33-497E-8609-9055A798CA39}"/>
    <hyperlink ref="S894" r:id="rId893" xr:uid="{EC099388-5DBB-4451-9CB5-0B40ABF3FFF0}"/>
    <hyperlink ref="S895" r:id="rId894" xr:uid="{9134600F-2711-4CE4-8CE1-259DDFADBB62}"/>
    <hyperlink ref="S896" r:id="rId895" xr:uid="{2A0EDDAE-843E-4B17-BAC5-11597332FB79}"/>
    <hyperlink ref="S897" r:id="rId896" xr:uid="{CAFEB8E2-DF04-4D4E-90D2-6843888131BE}"/>
    <hyperlink ref="S898" r:id="rId897" xr:uid="{A0475A5E-2499-4B19-A4E8-686C2AEA76B6}"/>
    <hyperlink ref="S899" r:id="rId898" xr:uid="{9A134E84-5A98-45D1-BBB9-74AECBE429FC}"/>
    <hyperlink ref="S900" r:id="rId899" xr:uid="{94D2B9B7-4B3E-4707-9886-641926BD2979}"/>
    <hyperlink ref="S901" r:id="rId900" xr:uid="{E53BCE53-49E3-4E8D-B0B5-A0FE9406D766}"/>
    <hyperlink ref="S902" r:id="rId901" xr:uid="{208B2C6B-7BDC-47BC-BE01-5F21E9E9C0FF}"/>
    <hyperlink ref="S903" r:id="rId902" xr:uid="{A27BAF2D-4350-4892-9375-9938AF06DEEA}"/>
    <hyperlink ref="S904" r:id="rId903" xr:uid="{2C714316-9C97-426F-943A-7617548CD13D}"/>
    <hyperlink ref="S905" r:id="rId904" xr:uid="{2A1C9AD7-6207-4E0D-AB79-FC6211F09D69}"/>
    <hyperlink ref="S906" r:id="rId905" xr:uid="{50057A3F-02BC-4025-A91C-0D524DE0E8E9}"/>
    <hyperlink ref="S907" r:id="rId906" xr:uid="{3C4BE6EA-3D5B-44D9-AA66-F015C60BCE3C}"/>
    <hyperlink ref="S908" r:id="rId907" xr:uid="{F80D2D5F-9C01-4B2D-B4FA-2EC8611B28D6}"/>
    <hyperlink ref="S909" r:id="rId908" xr:uid="{0DA58293-81D9-4597-8277-FC15ABE7D476}"/>
    <hyperlink ref="S910" r:id="rId909" xr:uid="{CC01EF3E-E85C-47D1-B0EE-2A6831962B7B}"/>
    <hyperlink ref="S911" r:id="rId910" xr:uid="{E4D4EFB6-95CD-456C-A147-A22448D40C59}"/>
    <hyperlink ref="S912" r:id="rId911" xr:uid="{F0C2A1C6-9DC5-4043-BFE7-C4E3FD044DBF}"/>
    <hyperlink ref="S913" r:id="rId912" xr:uid="{F7D81756-978B-4DD8-9E12-1D7C63DB618F}"/>
    <hyperlink ref="S914" r:id="rId913" xr:uid="{13587ACB-7A63-4818-B019-7D66F1FFFA99}"/>
    <hyperlink ref="S915" r:id="rId914" xr:uid="{C6FDB2EE-4C5B-4AFF-838C-47FE5A396EB1}"/>
    <hyperlink ref="S916" r:id="rId915" xr:uid="{9452CBAD-D688-4918-A397-A4C2F863BC4E}"/>
    <hyperlink ref="S917" r:id="rId916" xr:uid="{EB6DD678-B6B3-4FDF-897D-D134D404B440}"/>
    <hyperlink ref="S918" r:id="rId917" xr:uid="{F1F01956-25B8-41B2-9205-B9734682561B}"/>
    <hyperlink ref="S919" r:id="rId918" xr:uid="{D4222B81-90B1-46D4-A569-6D776BADA65D}"/>
    <hyperlink ref="S920" r:id="rId919" xr:uid="{6FDE71A1-E1A9-45D4-9FD9-68CDC019F3B6}"/>
    <hyperlink ref="S921" r:id="rId920" xr:uid="{3276CE28-9A9E-4914-AB4E-6D37A41248F5}"/>
    <hyperlink ref="S922" r:id="rId921" xr:uid="{45F1E087-D9DF-4201-8D82-EECCE11EEA51}"/>
    <hyperlink ref="S923" r:id="rId922" xr:uid="{804AD841-6681-493D-9728-5DEC62353C2A}"/>
    <hyperlink ref="S924" r:id="rId923" xr:uid="{CC229833-386F-4A85-8FED-28D2AF92B661}"/>
    <hyperlink ref="S925" r:id="rId924" xr:uid="{73AF49E5-68C6-4611-8158-8D1B1951A907}"/>
    <hyperlink ref="S926" r:id="rId925" xr:uid="{576AEC9F-4F6D-4D7E-9B9F-FA9039610B09}"/>
    <hyperlink ref="S927" r:id="rId926" xr:uid="{9FBE6DCA-259C-4196-ABF5-69605860CBC3}"/>
    <hyperlink ref="S928" r:id="rId927" xr:uid="{2183C877-CDA2-4958-89CB-94E53965691B}"/>
    <hyperlink ref="S929" r:id="rId928" xr:uid="{FA9403F1-E9CA-4DDE-BCF6-87493AFA105B}"/>
    <hyperlink ref="S930" r:id="rId929" xr:uid="{CD84FE26-E5E6-4B63-87E2-C5436D4F30D6}"/>
    <hyperlink ref="S931" r:id="rId930" xr:uid="{8BAB7703-6AFB-4449-9514-01372342CCE8}"/>
    <hyperlink ref="S932" r:id="rId931" xr:uid="{ED0DFEBC-F37E-4DCB-B516-E9322F14F911}"/>
    <hyperlink ref="S933" r:id="rId932" xr:uid="{CE8575CA-4646-4289-9DD7-D49AC9C3190F}"/>
    <hyperlink ref="S934" r:id="rId933" xr:uid="{B4FAAB49-F344-47A3-AFE5-922BCA893347}"/>
    <hyperlink ref="S935" r:id="rId934" xr:uid="{9441519F-F7A1-4C27-9A90-12A262A7510B}"/>
    <hyperlink ref="S936" r:id="rId935" xr:uid="{7192B08F-2ACB-4D32-AD6F-AB1F3E2D7B2D}"/>
    <hyperlink ref="S937" r:id="rId936" xr:uid="{E42D9C7F-71D0-4ECE-B486-5331C2E9471A}"/>
    <hyperlink ref="S938" r:id="rId937" xr:uid="{D5DA3114-62BF-4B9D-980C-A8BFAB76AFF3}"/>
    <hyperlink ref="S939" r:id="rId938" xr:uid="{31346CE7-0230-4834-9835-9356C21E66B1}"/>
    <hyperlink ref="S940" r:id="rId939" xr:uid="{B3EDB55F-DCFC-4429-9FEB-24472BE6F558}"/>
    <hyperlink ref="S941" r:id="rId940" xr:uid="{4CA15FAA-D9FC-4B15-920F-FADF420C1A8D}"/>
    <hyperlink ref="S942" r:id="rId941" xr:uid="{DFBBFDC0-D018-4E5F-BDCD-4E290B3B9A8F}"/>
    <hyperlink ref="S943" r:id="rId942" xr:uid="{23511BC5-9DD1-4FD3-B3A8-C948421C4DFB}"/>
    <hyperlink ref="S944" r:id="rId943" xr:uid="{8B60692F-5C81-49EB-83BE-491F3FC0B47D}"/>
    <hyperlink ref="S945" r:id="rId944" xr:uid="{5319EA48-4BFE-4316-ACF8-09FC0CE3769F}"/>
    <hyperlink ref="S946" r:id="rId945" xr:uid="{BD340D7F-FC94-411A-A059-BF11FEC1DBD7}"/>
    <hyperlink ref="S947" r:id="rId946" xr:uid="{EC1DEB54-82C3-4F48-A749-220938245A14}"/>
    <hyperlink ref="S948" r:id="rId947" xr:uid="{79DD540C-43A4-473C-90A2-407A216FC1EB}"/>
    <hyperlink ref="S949" r:id="rId948" xr:uid="{2C7FF0C1-DA6A-467F-B1D1-D0A620D4B762}"/>
    <hyperlink ref="S950" r:id="rId949" xr:uid="{5D27DB5D-7D57-43DA-BB5C-4E5CA8BB36D0}"/>
    <hyperlink ref="S951" r:id="rId950" xr:uid="{DDFE85DF-0341-4BE9-BA42-6342D45164D2}"/>
    <hyperlink ref="S952" r:id="rId951" xr:uid="{DE5C54CC-77E4-4EE9-9000-7BB0B8062155}"/>
    <hyperlink ref="S953" r:id="rId952" xr:uid="{28EB1702-FFCA-46A5-B382-89AAE623D81C}"/>
    <hyperlink ref="S954" r:id="rId953" xr:uid="{0D94D9F9-F0C7-4191-A02B-1F72D90255CA}"/>
    <hyperlink ref="S955" r:id="rId954" xr:uid="{0CE7CE54-BEB9-4C07-A922-E93C925BF270}"/>
    <hyperlink ref="S956" r:id="rId955" xr:uid="{290BAA1E-9871-4700-A291-5FB8DE017537}"/>
    <hyperlink ref="S957" r:id="rId956" xr:uid="{AFADB5BF-9F47-44E3-908C-7777AC0A4154}"/>
    <hyperlink ref="S958" r:id="rId957" xr:uid="{C5EA1222-9E0B-4B4F-A27E-E46A3E79AD4A}"/>
    <hyperlink ref="S959" r:id="rId958" xr:uid="{2B486941-DD93-4A0C-BD65-624F396352C4}"/>
    <hyperlink ref="S960" r:id="rId959" xr:uid="{C1A3DD07-73E8-408C-AED8-1ABC57DC9A67}"/>
    <hyperlink ref="S961" r:id="rId960" xr:uid="{328528DE-4E83-4B6E-AF3B-9AE6CBC7A044}"/>
    <hyperlink ref="S962" r:id="rId961" xr:uid="{F97AAB5D-7E1C-443E-865E-EC8CA506BD43}"/>
    <hyperlink ref="S963" r:id="rId962" xr:uid="{1B0D0448-4049-454D-A543-119B1866DF78}"/>
    <hyperlink ref="S964" r:id="rId963" xr:uid="{83A8F189-8BC0-4DFC-8EFC-BD0CD7BE848F}"/>
    <hyperlink ref="S965" r:id="rId964" xr:uid="{17F35B7C-814B-4E7F-BFB7-F444CA6D817F}"/>
    <hyperlink ref="S966" r:id="rId965" xr:uid="{18E1D349-46A0-48D5-8239-BE10962648A5}"/>
    <hyperlink ref="S967" r:id="rId966" xr:uid="{9907A11E-E180-4D66-A958-C7E0D0611A8D}"/>
    <hyperlink ref="S968" r:id="rId967" xr:uid="{3DC59BC7-3104-43AA-8E7D-48247925E249}"/>
    <hyperlink ref="S969" r:id="rId968" xr:uid="{A816C086-7F23-4E81-B957-BE6A32B954AD}"/>
    <hyperlink ref="S970" r:id="rId969" xr:uid="{3C82484B-55D5-4995-8CFA-7F7283E45816}"/>
    <hyperlink ref="S971" r:id="rId970" xr:uid="{02410FED-C7BA-436A-BAAA-A5932E1746A2}"/>
    <hyperlink ref="S972" r:id="rId971" xr:uid="{9D8977FC-916B-4878-B76A-DA452C19A7E9}"/>
    <hyperlink ref="S973" r:id="rId972" xr:uid="{D02DF869-8C85-4BFC-BFAF-F3592D1DA75A}"/>
    <hyperlink ref="S974" r:id="rId973" xr:uid="{3A9EDCB5-0217-4C80-93E9-86B226497056}"/>
    <hyperlink ref="S975" r:id="rId974" xr:uid="{AD90DADA-4439-4967-B130-6B8B2E378491}"/>
    <hyperlink ref="S976" r:id="rId975" xr:uid="{89EDF720-EE23-41B5-B913-024454FA974B}"/>
    <hyperlink ref="S977" r:id="rId976" xr:uid="{AA5D14DE-7311-4049-9A37-E8EB1266B66A}"/>
    <hyperlink ref="S978" r:id="rId977" xr:uid="{B7193BD0-0ED8-40C8-83EF-B205467EF790}"/>
    <hyperlink ref="S979" r:id="rId978" xr:uid="{3F567D4C-700B-4D97-A65A-EDDB6BE5B50F}"/>
    <hyperlink ref="S980" r:id="rId979" xr:uid="{4C68F1E1-5BCD-49C3-B975-863D41BE134F}"/>
    <hyperlink ref="S981" r:id="rId980" xr:uid="{7E963514-D5D1-4739-B37E-3054EEE8FD63}"/>
    <hyperlink ref="S982" r:id="rId981" xr:uid="{1E32C256-27A9-42FB-A41E-C882E2F1E3F3}"/>
    <hyperlink ref="S983" r:id="rId982" xr:uid="{1F864E43-FF8B-4236-97E5-C216456DC603}"/>
    <hyperlink ref="S984" r:id="rId983" xr:uid="{7DA45410-F5A1-4F35-86E4-4A0065D63CA5}"/>
    <hyperlink ref="S985" r:id="rId984" xr:uid="{ADD7D5D8-F3B5-4E64-BE76-FABCC7851E2E}"/>
    <hyperlink ref="S986" r:id="rId985" xr:uid="{8C41BA76-EB8D-4EDA-BE06-029212877A0D}"/>
    <hyperlink ref="S987" r:id="rId986" xr:uid="{E6055FF3-9716-42C4-9551-94A8B697AE87}"/>
    <hyperlink ref="S988" r:id="rId987" xr:uid="{77EC56D8-E618-4DB9-9DAD-045092FDCE3B}"/>
    <hyperlink ref="S989" r:id="rId988" xr:uid="{AEA7AB57-E265-476C-A9BA-AF50F7426019}"/>
    <hyperlink ref="S990" r:id="rId989" xr:uid="{A0630624-66FA-4961-80A3-76989CD863BF}"/>
    <hyperlink ref="S991" r:id="rId990" xr:uid="{84DA0D06-0D28-4F05-B513-925841BE32AA}"/>
    <hyperlink ref="S992" r:id="rId991" xr:uid="{288A9A63-16EA-44F6-94A6-5F2BF0F0E068}"/>
    <hyperlink ref="S993" r:id="rId992" xr:uid="{40072D84-4878-40EC-BDCD-868D0C751229}"/>
    <hyperlink ref="S994" r:id="rId993" xr:uid="{2C2E8C8C-7FFF-4B4A-B89F-A6B89ACE00D0}"/>
    <hyperlink ref="S995" r:id="rId994" xr:uid="{07AF6DAB-85F9-4FAE-9DC4-EC9FF823BAFC}"/>
    <hyperlink ref="S996" r:id="rId995" xr:uid="{215E0650-D84F-48C8-AD98-3B419B1E0553}"/>
    <hyperlink ref="S997" r:id="rId996" xr:uid="{006D1CA1-2530-4B00-9A4B-BB72CE68E9C4}"/>
    <hyperlink ref="S998" r:id="rId997" xr:uid="{26B54426-C7E2-4708-B3EE-029D8B5F4829}"/>
    <hyperlink ref="S999" r:id="rId998" xr:uid="{F0FD3A5A-6E98-4C44-A2BE-543AB6DFE3ED}"/>
    <hyperlink ref="S1000" r:id="rId999" xr:uid="{45B675A9-0482-4A8E-8DB4-8AE199B39B87}"/>
    <hyperlink ref="S1001" r:id="rId1000" xr:uid="{B2065342-DA99-477A-B61D-A53B55C7A428}"/>
  </hyperlinks>
  <pageMargins left="0.7" right="0.7" top="0.75" bottom="0.75" header="0.3" footer="0.3"/>
  <pageSetup orientation="portrait" r:id="rId1001"/>
  <tableParts count="1">
    <tablePart r:id="rId100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1" width="30" customWidth="1"/>
    <col min="2" max="2" width="60" customWidth="1"/>
    <col min="3" max="3" width="50" customWidth="1"/>
  </cols>
  <sheetData>
    <row r="1" spans="1:3" x14ac:dyDescent="0.35">
      <c r="A1" s="1" t="s">
        <v>26</v>
      </c>
      <c r="B1" s="1"/>
      <c r="C1" s="1"/>
    </row>
    <row r="2" spans="1:3" x14ac:dyDescent="0.35">
      <c r="A2" s="2" t="s">
        <v>27</v>
      </c>
      <c r="B2" s="2" t="s">
        <v>28</v>
      </c>
      <c r="C2" s="2" t="s">
        <v>29</v>
      </c>
    </row>
    <row r="3" spans="1:3" x14ac:dyDescent="0.35">
      <c r="A3" s="2" t="s">
        <v>30</v>
      </c>
      <c r="B3" s="2" t="e">
        <f>COUNTIF([1]Full_Data!B:B,B2)</f>
        <v>#VALUE!</v>
      </c>
      <c r="C3" s="2">
        <v>0</v>
      </c>
    </row>
    <row r="4" spans="1:3" x14ac:dyDescent="0.35">
      <c r="A4" s="2" t="s">
        <v>31</v>
      </c>
      <c r="B4" s="2" t="s">
        <v>32</v>
      </c>
      <c r="C4" s="2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2" topLeftCell="A3" activePane="bottomLeft" state="frozen"/>
      <selection pane="bottomLeft" activeCell="C4" sqref="C4"/>
    </sheetView>
  </sheetViews>
  <sheetFormatPr defaultRowHeight="14.5" x14ac:dyDescent="0.35"/>
  <cols>
    <col min="1" max="1" width="30" customWidth="1"/>
    <col min="2" max="2" width="60" customWidth="1"/>
    <col min="3" max="3" width="50" customWidth="1"/>
  </cols>
  <sheetData>
    <row r="1" spans="1:3" x14ac:dyDescent="0.35">
      <c r="A1" s="1" t="s">
        <v>34</v>
      </c>
      <c r="B1" s="1"/>
      <c r="C1" s="1"/>
    </row>
    <row r="2" spans="1:3" x14ac:dyDescent="0.35">
      <c r="A2" s="2" t="s">
        <v>27</v>
      </c>
      <c r="B2" s="2" t="s">
        <v>28</v>
      </c>
      <c r="C2" s="2" t="s">
        <v>29</v>
      </c>
    </row>
    <row r="3" spans="1:3" x14ac:dyDescent="0.35">
      <c r="A3" s="2" t="s">
        <v>35</v>
      </c>
      <c r="B3" s="2" t="s">
        <v>36</v>
      </c>
      <c r="C3" s="4">
        <v>0.45</v>
      </c>
    </row>
    <row r="4" spans="1:3" x14ac:dyDescent="0.35">
      <c r="A4" s="2" t="s">
        <v>37</v>
      </c>
      <c r="B4" s="2" t="e">
        <f>VALUE(SUBSTITUTE(J2,"% OFF",""))</f>
        <v>#VALUE!</v>
      </c>
      <c r="C4" s="2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2" topLeftCell="A3" activePane="bottomLeft" state="frozen"/>
      <selection pane="bottomLeft" activeCell="B3" sqref="B3"/>
    </sheetView>
  </sheetViews>
  <sheetFormatPr defaultRowHeight="14.5" x14ac:dyDescent="0.35"/>
  <cols>
    <col min="1" max="1" width="30" customWidth="1"/>
    <col min="2" max="2" width="60" customWidth="1"/>
    <col min="3" max="3" width="50" customWidth="1"/>
  </cols>
  <sheetData>
    <row r="1" spans="1:3" ht="29" x14ac:dyDescent="0.35">
      <c r="A1" s="1" t="s">
        <v>39</v>
      </c>
      <c r="B1" s="1"/>
      <c r="C1" s="1"/>
    </row>
    <row r="2" spans="1:3" x14ac:dyDescent="0.35">
      <c r="A2" s="2" t="s">
        <v>27</v>
      </c>
      <c r="B2" s="2" t="s">
        <v>28</v>
      </c>
      <c r="C2" s="2" t="s">
        <v>29</v>
      </c>
    </row>
    <row r="3" spans="1:3" x14ac:dyDescent="0.35">
      <c r="A3" s="2" t="s">
        <v>40</v>
      </c>
      <c r="B3" s="2" t="e">
        <f>COUNTIFS([1]Full_Data!H:H,"",[1]Full_Data!J:J,"")</f>
        <v>#VALUE!</v>
      </c>
      <c r="C3" s="2">
        <v>74122</v>
      </c>
    </row>
    <row r="4" spans="1:3" x14ac:dyDescent="0.35">
      <c r="A4" s="2" t="s">
        <v>41</v>
      </c>
      <c r="B4" s="2" t="e">
        <f>AVERAGEIF([1]Full_Data!D:D,D2,[1]Full_Data!H:H)</f>
        <v>#VALUE!</v>
      </c>
      <c r="C4" s="2" t="s">
        <v>42</v>
      </c>
    </row>
    <row r="5" spans="1:3" x14ac:dyDescent="0.35">
      <c r="A5" s="2" t="s">
        <v>43</v>
      </c>
      <c r="B5" s="2" t="e">
        <f>IF(AND(H2="",J2=""),Category_Avg_DiscountPrice,H2)</f>
        <v>#NAME?</v>
      </c>
      <c r="C5" s="2" t="s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pane ySplit="2" topLeftCell="A3" activePane="bottomLeft" state="frozen"/>
      <selection pane="bottomLeft" activeCell="B3" sqref="B3"/>
    </sheetView>
  </sheetViews>
  <sheetFormatPr defaultRowHeight="14.5" x14ac:dyDescent="0.35"/>
  <cols>
    <col min="1" max="1" width="30" customWidth="1"/>
    <col min="2" max="2" width="60" customWidth="1"/>
    <col min="3" max="3" width="50" customWidth="1"/>
  </cols>
  <sheetData>
    <row r="1" spans="1:3" x14ac:dyDescent="0.35">
      <c r="A1" s="1" t="s">
        <v>45</v>
      </c>
      <c r="B1" s="1"/>
      <c r="C1" s="1"/>
    </row>
    <row r="2" spans="1:3" x14ac:dyDescent="0.35">
      <c r="A2" s="2" t="s">
        <v>27</v>
      </c>
      <c r="B2" s="2" t="s">
        <v>28</v>
      </c>
      <c r="C2" s="2" t="s">
        <v>29</v>
      </c>
    </row>
    <row r="3" spans="1:3" x14ac:dyDescent="0.35">
      <c r="A3" s="2" t="s">
        <v>46</v>
      </c>
      <c r="B3" s="2" t="e">
        <f>COUNTBLANK([1]Full_Data!K:K)</f>
        <v>#VALUE!</v>
      </c>
      <c r="C3" s="2">
        <v>0</v>
      </c>
    </row>
    <row r="4" spans="1:3" x14ac:dyDescent="0.35">
      <c r="A4" s="2" t="s">
        <v>47</v>
      </c>
      <c r="B4" s="2" t="str">
        <f>IF(K2="","Not Available",K2)</f>
        <v>Not Available</v>
      </c>
      <c r="C4" s="2" t="s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pane ySplit="2" topLeftCell="A3" activePane="bottomLeft" state="frozen"/>
      <selection pane="bottomLeft" activeCell="B3" sqref="B3"/>
    </sheetView>
  </sheetViews>
  <sheetFormatPr defaultRowHeight="14.5" x14ac:dyDescent="0.35"/>
  <cols>
    <col min="1" max="1" width="30" customWidth="1"/>
    <col min="2" max="2" width="60" customWidth="1"/>
    <col min="3" max="3" width="50" customWidth="1"/>
  </cols>
  <sheetData>
    <row r="1" spans="1:3" ht="29" x14ac:dyDescent="0.35">
      <c r="A1" s="1" t="s">
        <v>49</v>
      </c>
      <c r="B1" s="1"/>
      <c r="C1" s="1"/>
    </row>
    <row r="2" spans="1:3" x14ac:dyDescent="0.35">
      <c r="A2" s="2" t="s">
        <v>27</v>
      </c>
      <c r="B2" s="2" t="s">
        <v>28</v>
      </c>
      <c r="C2" s="2" t="s">
        <v>29</v>
      </c>
    </row>
    <row r="3" spans="1:3" x14ac:dyDescent="0.35">
      <c r="A3" s="2" t="s">
        <v>50</v>
      </c>
      <c r="B3" s="2" t="e">
        <f>AVERAGEIF([1]Full_Data!L:L,"&gt;4",[1]Full_Data!I:I)</f>
        <v>#VALUE!</v>
      </c>
      <c r="C3" s="2">
        <v>1966.66747321916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30" customWidth="1"/>
    <col min="2" max="2" width="60" customWidth="1"/>
    <col min="3" max="3" width="50" customWidth="1"/>
  </cols>
  <sheetData>
    <row r="1" spans="1:3" x14ac:dyDescent="0.35">
      <c r="A1" s="1" t="s">
        <v>51</v>
      </c>
      <c r="B1" s="1"/>
      <c r="C1" s="1"/>
    </row>
    <row r="2" spans="1:3" x14ac:dyDescent="0.35">
      <c r="A2" s="2" t="s">
        <v>27</v>
      </c>
      <c r="B2" s="2" t="s">
        <v>28</v>
      </c>
      <c r="C2" s="2" t="s">
        <v>29</v>
      </c>
    </row>
    <row r="3" spans="1:3" x14ac:dyDescent="0.35">
      <c r="A3" s="2" t="s">
        <v>52</v>
      </c>
      <c r="B3" s="2" t="e">
        <f>COUNTIF(Standardized_DiscountOffer,"&gt;50%")</f>
        <v>#NAME?</v>
      </c>
      <c r="C3" s="2">
        <v>218489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>
      <pane ySplit="2" topLeftCell="A3" activePane="bottomLeft" state="frozen"/>
      <selection pane="bottomLeft" activeCell="B3" sqref="B3"/>
    </sheetView>
  </sheetViews>
  <sheetFormatPr defaultRowHeight="14.5" x14ac:dyDescent="0.35"/>
  <cols>
    <col min="1" max="1" width="30" customWidth="1"/>
    <col min="2" max="2" width="60" customWidth="1"/>
    <col min="3" max="3" width="50" customWidth="1"/>
  </cols>
  <sheetData>
    <row r="1" spans="1:3" x14ac:dyDescent="0.35">
      <c r="A1" s="1" t="s">
        <v>53</v>
      </c>
      <c r="B1" s="1"/>
      <c r="C1" s="1"/>
    </row>
    <row r="2" spans="1:3" x14ac:dyDescent="0.35">
      <c r="A2" s="2" t="s">
        <v>27</v>
      </c>
      <c r="B2" s="2" t="s">
        <v>28</v>
      </c>
      <c r="C2" s="2" t="s">
        <v>29</v>
      </c>
    </row>
    <row r="3" spans="1:3" x14ac:dyDescent="0.35">
      <c r="A3" s="2" t="s">
        <v>52</v>
      </c>
      <c r="B3" s="2" t="e">
        <f>COUNTIF([1]Full_Data!K:K,"*M*")</f>
        <v>#VALUE!</v>
      </c>
      <c r="C3" s="2">
        <v>308449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30" customWidth="1"/>
    <col min="2" max="2" width="60" customWidth="1"/>
    <col min="3" max="3" width="50" customWidth="1"/>
  </cols>
  <sheetData>
    <row r="1" spans="1:3" x14ac:dyDescent="0.35">
      <c r="A1" s="1" t="s">
        <v>54</v>
      </c>
      <c r="B1" s="1"/>
      <c r="C1" s="1"/>
    </row>
    <row r="2" spans="1:3" x14ac:dyDescent="0.35">
      <c r="A2" s="2" t="s">
        <v>27</v>
      </c>
      <c r="B2" s="2" t="s">
        <v>28</v>
      </c>
      <c r="C2" s="2" t="s">
        <v>29</v>
      </c>
    </row>
    <row r="3" spans="1:3" x14ac:dyDescent="0.35">
      <c r="A3" s="2" t="s">
        <v>55</v>
      </c>
      <c r="B3" s="2" t="s">
        <v>56</v>
      </c>
      <c r="C3" s="2">
        <v>218489</v>
      </c>
    </row>
    <row r="4" spans="1:3" x14ac:dyDescent="0.35">
      <c r="A4" s="2" t="s">
        <v>57</v>
      </c>
      <c r="B4" s="2" t="s">
        <v>58</v>
      </c>
      <c r="C4" s="2">
        <v>308075</v>
      </c>
    </row>
    <row r="5" spans="1:3" x14ac:dyDescent="0.35">
      <c r="A5" s="2" t="s">
        <v>59</v>
      </c>
      <c r="B5" s="2" t="e">
        <f>IF(Standardized_DiscountOffer&gt;50%,"High Discount","Low Discount")</f>
        <v>#NAME?</v>
      </c>
      <c r="C5" s="2" t="s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30" customWidth="1"/>
    <col min="2" max="2" width="60" customWidth="1"/>
    <col min="3" max="3" width="50" customWidth="1"/>
  </cols>
  <sheetData>
    <row r="1" spans="1:3" ht="29" x14ac:dyDescent="0.35">
      <c r="A1" s="1" t="s">
        <v>61</v>
      </c>
      <c r="B1" s="1"/>
      <c r="C1" s="1"/>
    </row>
    <row r="2" spans="1:3" x14ac:dyDescent="0.35">
      <c r="A2" s="2" t="s">
        <v>27</v>
      </c>
      <c r="B2" s="2" t="s">
        <v>28</v>
      </c>
      <c r="C2" s="2" t="s">
        <v>29</v>
      </c>
    </row>
    <row r="3" spans="1:3" x14ac:dyDescent="0.35">
      <c r="A3" s="2" t="s">
        <v>62</v>
      </c>
      <c r="B3" s="2">
        <v>11226634</v>
      </c>
      <c r="C3" s="2">
        <v>11226634</v>
      </c>
    </row>
    <row r="4" spans="1:3" x14ac:dyDescent="0.35">
      <c r="A4" s="2" t="s">
        <v>63</v>
      </c>
      <c r="B4" s="2" t="s">
        <v>64</v>
      </c>
      <c r="C4" s="2" t="s">
        <v>65</v>
      </c>
    </row>
    <row r="5" spans="1:3" x14ac:dyDescent="0.35">
      <c r="A5" s="2" t="s">
        <v>66</v>
      </c>
      <c r="B5" s="2" t="s">
        <v>64</v>
      </c>
      <c r="C5" s="2" t="s">
        <v>67</v>
      </c>
    </row>
    <row r="6" spans="1:3" x14ac:dyDescent="0.35">
      <c r="A6" s="2" t="s">
        <v>68</v>
      </c>
      <c r="B6" s="2" t="s">
        <v>64</v>
      </c>
      <c r="C6" s="2">
        <v>3.9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"/>
  <sheetViews>
    <sheetView workbookViewId="0">
      <pane ySplit="2" topLeftCell="A3" activePane="bottomLeft" state="frozen"/>
      <selection pane="bottomLeft" activeCell="B4" sqref="B4"/>
    </sheetView>
  </sheetViews>
  <sheetFormatPr defaultRowHeight="14.5" x14ac:dyDescent="0.35"/>
  <cols>
    <col min="1" max="1" width="30" customWidth="1"/>
    <col min="2" max="2" width="60" customWidth="1"/>
    <col min="3" max="3" width="50" customWidth="1"/>
  </cols>
  <sheetData>
    <row r="1" spans="1:3" ht="29" x14ac:dyDescent="0.35">
      <c r="A1" s="1" t="s">
        <v>69</v>
      </c>
      <c r="B1" s="1"/>
      <c r="C1" s="1"/>
    </row>
    <row r="2" spans="1:3" x14ac:dyDescent="0.35">
      <c r="A2" s="2" t="s">
        <v>27</v>
      </c>
      <c r="B2" s="2" t="s">
        <v>28</v>
      </c>
      <c r="C2" s="2" t="s">
        <v>29</v>
      </c>
    </row>
    <row r="3" spans="1:3" x14ac:dyDescent="0.35">
      <c r="A3" s="2" t="s">
        <v>62</v>
      </c>
      <c r="B3" s="2">
        <v>6744434</v>
      </c>
      <c r="C3" s="2">
        <v>6744434</v>
      </c>
    </row>
    <row r="4" spans="1:3" x14ac:dyDescent="0.35">
      <c r="A4" s="2" t="s">
        <v>70</v>
      </c>
      <c r="B4" s="2" t="e">
        <f>INDEX([1]Full_Data!H:H,MATCH(6744434,[1]Full_Data!B:B,0))</f>
        <v>#N/A</v>
      </c>
      <c r="C4" s="2" t="s">
        <v>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30" customWidth="1"/>
    <col min="2" max="2" width="60" customWidth="1"/>
    <col min="3" max="3" width="50" customWidth="1"/>
  </cols>
  <sheetData>
    <row r="1" spans="1:3" ht="29" x14ac:dyDescent="0.35">
      <c r="A1" s="1" t="s">
        <v>72</v>
      </c>
      <c r="B1" s="1"/>
      <c r="C1" s="1"/>
    </row>
    <row r="2" spans="1:3" x14ac:dyDescent="0.35">
      <c r="A2" s="2" t="s">
        <v>27</v>
      </c>
      <c r="B2" s="2" t="s">
        <v>28</v>
      </c>
      <c r="C2" s="2" t="s">
        <v>29</v>
      </c>
    </row>
    <row r="3" spans="1:3" x14ac:dyDescent="0.35">
      <c r="A3" s="2" t="s">
        <v>62</v>
      </c>
      <c r="B3" s="2">
        <v>11226634</v>
      </c>
      <c r="C3" s="2">
        <v>11226634</v>
      </c>
    </row>
    <row r="4" spans="1:3" x14ac:dyDescent="0.35">
      <c r="A4" s="2" t="s">
        <v>63</v>
      </c>
      <c r="B4" s="2" t="s">
        <v>73</v>
      </c>
      <c r="C4" s="2" t="s">
        <v>65</v>
      </c>
    </row>
    <row r="5" spans="1:3" x14ac:dyDescent="0.35">
      <c r="A5" s="2" t="s">
        <v>74</v>
      </c>
      <c r="B5" s="2" t="s">
        <v>73</v>
      </c>
      <c r="C5" s="2" t="s">
        <v>75</v>
      </c>
    </row>
    <row r="6" spans="1:3" x14ac:dyDescent="0.35">
      <c r="A6" s="2" t="s">
        <v>76</v>
      </c>
      <c r="B6" s="2" t="s">
        <v>73</v>
      </c>
      <c r="C6" s="2" t="s">
        <v>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3"/>
  <sheetViews>
    <sheetView workbookViewId="0"/>
  </sheetViews>
  <sheetFormatPr defaultRowHeight="14.5" x14ac:dyDescent="0.35"/>
  <cols>
    <col min="1" max="1" width="42" customWidth="1"/>
    <col min="2" max="2" width="65" customWidth="1"/>
    <col min="3" max="3" width="35" customWidth="1"/>
  </cols>
  <sheetData>
    <row r="1" spans="1:3" x14ac:dyDescent="0.35">
      <c r="A1" s="1" t="s">
        <v>78</v>
      </c>
      <c r="B1" s="1" t="s">
        <v>79</v>
      </c>
      <c r="C1" s="1" t="s">
        <v>80</v>
      </c>
    </row>
    <row r="2" spans="1:3" x14ac:dyDescent="0.35">
      <c r="A2" s="2" t="s">
        <v>81</v>
      </c>
      <c r="B2" s="2" t="s">
        <v>2</v>
      </c>
      <c r="C2" s="2" t="s">
        <v>82</v>
      </c>
    </row>
    <row r="3" spans="1:3" x14ac:dyDescent="0.35">
      <c r="A3" s="2" t="s">
        <v>83</v>
      </c>
      <c r="B3" s="2" t="s">
        <v>84</v>
      </c>
      <c r="C3" s="2" t="s">
        <v>85</v>
      </c>
    </row>
    <row r="4" spans="1:3" x14ac:dyDescent="0.35">
      <c r="A4" s="2" t="s">
        <v>86</v>
      </c>
      <c r="B4" s="2">
        <v>526564</v>
      </c>
      <c r="C4" s="2" t="s">
        <v>87</v>
      </c>
    </row>
    <row r="5" spans="1:3" x14ac:dyDescent="0.35">
      <c r="A5" s="2" t="s">
        <v>88</v>
      </c>
      <c r="B5" s="2">
        <v>16</v>
      </c>
      <c r="C5" s="2" t="s">
        <v>89</v>
      </c>
    </row>
    <row r="6" spans="1:3" x14ac:dyDescent="0.35">
      <c r="A6" s="2" t="s">
        <v>90</v>
      </c>
      <c r="B6" s="2">
        <v>0</v>
      </c>
      <c r="C6" s="2" t="s">
        <v>91</v>
      </c>
    </row>
    <row r="7" spans="1:3" x14ac:dyDescent="0.35">
      <c r="A7" s="2" t="s">
        <v>92</v>
      </c>
      <c r="B7" s="2">
        <v>74122</v>
      </c>
      <c r="C7" s="2" t="s">
        <v>93</v>
      </c>
    </row>
    <row r="8" spans="1:3" x14ac:dyDescent="0.35">
      <c r="A8" s="2" t="s">
        <v>94</v>
      </c>
      <c r="B8" s="2">
        <v>0</v>
      </c>
      <c r="C8" s="2" t="s">
        <v>91</v>
      </c>
    </row>
    <row r="9" spans="1:3" x14ac:dyDescent="0.35">
      <c r="A9" s="2" t="s">
        <v>95</v>
      </c>
      <c r="B9" s="2">
        <v>1966.66747321916</v>
      </c>
      <c r="C9" s="2" t="s">
        <v>96</v>
      </c>
    </row>
    <row r="10" spans="1:3" x14ac:dyDescent="0.35">
      <c r="A10" s="2" t="s">
        <v>97</v>
      </c>
      <c r="B10" s="2">
        <v>218489</v>
      </c>
      <c r="C10" s="2" t="s">
        <v>98</v>
      </c>
    </row>
    <row r="11" spans="1:3" x14ac:dyDescent="0.35">
      <c r="A11" s="2" t="s">
        <v>99</v>
      </c>
      <c r="B11" s="2">
        <v>308449</v>
      </c>
      <c r="C11" s="2" t="s">
        <v>100</v>
      </c>
    </row>
    <row r="12" spans="1:3" x14ac:dyDescent="0.35">
      <c r="A12" s="2" t="s">
        <v>101</v>
      </c>
      <c r="B12" s="2">
        <v>218489</v>
      </c>
      <c r="C12" s="2" t="s">
        <v>98</v>
      </c>
    </row>
    <row r="13" spans="1:3" x14ac:dyDescent="0.35">
      <c r="A13" s="2" t="s">
        <v>102</v>
      </c>
      <c r="B13" s="2">
        <v>308075</v>
      </c>
      <c r="C13" s="2" t="s">
        <v>103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topLeftCell="C1" workbookViewId="0">
      <selection activeCell="C2" sqref="C2"/>
    </sheetView>
  </sheetViews>
  <sheetFormatPr defaultRowHeight="14.5" x14ac:dyDescent="0.35"/>
  <cols>
    <col min="1" max="1" width="10" customWidth="1"/>
    <col min="2" max="2" width="30" customWidth="1"/>
    <col min="3" max="3" width="90" customWidth="1"/>
  </cols>
  <sheetData>
    <row r="1" spans="1:3" x14ac:dyDescent="0.35">
      <c r="A1" s="3" t="s">
        <v>104</v>
      </c>
      <c r="B1" s="3" t="s">
        <v>105</v>
      </c>
      <c r="C1" s="3" t="s">
        <v>106</v>
      </c>
    </row>
    <row r="2" spans="1:3" x14ac:dyDescent="0.35">
      <c r="A2" t="s">
        <v>107</v>
      </c>
      <c r="B2" t="s">
        <v>108</v>
      </c>
      <c r="C2" t="e">
        <f>IF(COUNTIF([1]Full_Data!B:B,B2)&gt;1,"Duplicate","Unique")</f>
        <v>#VALUE!</v>
      </c>
    </row>
    <row r="3" spans="1:3" x14ac:dyDescent="0.35">
      <c r="A3" t="s">
        <v>109</v>
      </c>
      <c r="B3" t="s">
        <v>110</v>
      </c>
      <c r="C3" t="e">
        <f>VALUE(SUBSTITUTE(J2,"% OFF",""))/100</f>
        <v>#VALUE!</v>
      </c>
    </row>
    <row r="4" spans="1:3" x14ac:dyDescent="0.35">
      <c r="A4" t="s">
        <v>111</v>
      </c>
      <c r="B4" t="s">
        <v>112</v>
      </c>
      <c r="C4" t="e">
        <f>IF(AND(H2="",J2=""),AVERAGEIF(D:D,D2,H:H),H2)</f>
        <v>#DIV/0!</v>
      </c>
    </row>
    <row r="5" spans="1:3" x14ac:dyDescent="0.35">
      <c r="A5" t="s">
        <v>113</v>
      </c>
      <c r="B5" t="s">
        <v>114</v>
      </c>
      <c r="C5" t="str">
        <f>IF(K2="","Not Available",K2)</f>
        <v>Not Available</v>
      </c>
    </row>
    <row r="6" spans="1:3" x14ac:dyDescent="0.35">
      <c r="A6" t="s">
        <v>115</v>
      </c>
      <c r="B6" t="s">
        <v>116</v>
      </c>
      <c r="C6" t="e">
        <f>AVERAGEIF(L:L,"&gt;4",I:I)</f>
        <v>#DIV/0!</v>
      </c>
    </row>
    <row r="7" spans="1:3" x14ac:dyDescent="0.35">
      <c r="A7" t="s">
        <v>117</v>
      </c>
      <c r="B7" t="s">
        <v>118</v>
      </c>
      <c r="C7" t="e">
        <f>COUNTIF(Standardized_DiscountOffer,"&gt;50%")</f>
        <v>#NAME?</v>
      </c>
    </row>
    <row r="8" spans="1:3" x14ac:dyDescent="0.35">
      <c r="A8" t="s">
        <v>119</v>
      </c>
      <c r="B8" t="s">
        <v>120</v>
      </c>
      <c r="C8">
        <f>COUNTIF(K:K,"*M*")</f>
        <v>0</v>
      </c>
    </row>
    <row r="9" spans="1:3" x14ac:dyDescent="0.35">
      <c r="A9" t="s">
        <v>121</v>
      </c>
      <c r="B9" t="s">
        <v>122</v>
      </c>
      <c r="C9" t="e">
        <f>IF(Standardized_DiscountOffer&gt;50%,"High Discount","Low Discount")</f>
        <v>#NAME?</v>
      </c>
    </row>
    <row r="10" spans="1:3" x14ac:dyDescent="0.35">
      <c r="A10" t="s">
        <v>123</v>
      </c>
      <c r="B10" t="s">
        <v>124</v>
      </c>
      <c r="C10" t="e">
        <f ca="1">_xludf.XLOOKUP(Product_id,Product_id_column,return_column)</f>
        <v>#NAME?</v>
      </c>
    </row>
    <row r="11" spans="1:3" x14ac:dyDescent="0.35">
      <c r="A11" t="s">
        <v>125</v>
      </c>
      <c r="B11" t="s">
        <v>126</v>
      </c>
      <c r="C11" t="e">
        <f>INDEX(return_column,MATCH(Product_id,Product_id_column,0))</f>
        <v>#NAME?</v>
      </c>
    </row>
    <row r="12" spans="1:3" x14ac:dyDescent="0.35">
      <c r="A12" t="s">
        <v>127</v>
      </c>
      <c r="B12" t="s">
        <v>73</v>
      </c>
      <c r="C12" t="e">
        <f>INDEX(data,MATCH(Product_id,id_column,0),MATCH(Header,header_row,0))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00_Summary</vt:lpstr>
      <vt:lpstr>Data_Cleaning</vt:lpstr>
      <vt:lpstr>Q01_Duplicates</vt:lpstr>
      <vt:lpstr>Q02_Discount_Format</vt:lpstr>
      <vt:lpstr>Q03_Fill_DiscountPrice</vt:lpstr>
      <vt:lpstr>Q04_SizeOption</vt:lpstr>
      <vt:lpstr>Q05_Avg_OriginalPrice</vt:lpstr>
      <vt:lpstr>Q06_Discount_50</vt:lpstr>
      <vt:lpstr>Q07_Size_M</vt:lpstr>
      <vt:lpstr>Q08_Discount_Label</vt:lpstr>
      <vt:lpstr>Q09_Lookup</vt:lpstr>
      <vt:lpstr>Q10_Index_Match</vt:lpstr>
      <vt:lpstr>Q11_Nested_Lookup</vt:lpstr>
      <vt:lpstr>Full_Data_Verification</vt:lpstr>
      <vt:lpstr>Formula_Guide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sharma</cp:lastModifiedBy>
  <dcterms:created xsi:type="dcterms:W3CDTF">2026-08-12T11:48:48Z</dcterms:created>
  <dcterms:modified xsi:type="dcterms:W3CDTF">2026-08-13T07:32:09Z</dcterms:modified>
</cp:coreProperties>
</file>